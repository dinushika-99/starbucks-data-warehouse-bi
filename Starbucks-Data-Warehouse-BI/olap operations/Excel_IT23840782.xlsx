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SLIIT    Information Technology\3 Year 1 Sem - Data science\3rd Year assignment , labs, datasets\DWBI Assaignment\DWBI Assignment 2\"/>
    </mc:Choice>
  </mc:AlternateContent>
  <xr:revisionPtr revIDLastSave="0" documentId="13_ncr:1_{99D254F6-F678-42A3-99FD-7D51915A7B43}" xr6:coauthVersionLast="43" xr6:coauthVersionMax="43" xr10:uidLastSave="{00000000-0000-0000-0000-000000000000}"/>
  <bookViews>
    <workbookView xWindow="-108" yWindow="-108" windowWidth="23256" windowHeight="12456" activeTab="2" xr2:uid="{D391B8DF-3F7E-448E-8178-B4453475E7C1}"/>
  </bookViews>
  <sheets>
    <sheet name="Roll-Up" sheetId="2" r:id="rId1"/>
    <sheet name="2_DrillDown" sheetId="3" r:id="rId2"/>
    <sheet name="DrillDown" sheetId="4" r:id="rId3"/>
    <sheet name="Slice" sheetId="5" r:id="rId4"/>
    <sheet name="Dice" sheetId="6" r:id="rId5"/>
    <sheet name="Pivot" sheetId="7" r:id="rId6"/>
  </sheets>
  <calcPr calcId="191029"/>
  <pivotCaches>
    <pivotCache cacheId="228" r:id="rId7"/>
    <pivotCache cacheId="380" r:id="rId8"/>
    <pivotCache cacheId="427" r:id="rId9"/>
    <pivotCache cacheId="433" r:id="rId10"/>
    <pivotCache cacheId="448" r:id="rId11"/>
    <pivotCache cacheId="599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B0270-A009-46B2-937D-AB5D5A635AB4}" odcFile="C:\Users\USER\OneDrive\Documents\My Data Sources\LAPTOP-HL8VH15C_DINUSHIKA2022 Starbucks_SSAS Cube_Starbucks_Sales.odc" keepAlive="1" name="LAPTOP-HL8VH15C_DINUSHIKA2022 Starbucks_SSAS Cube_Starbucks_Sales" type="5" refreshedVersion="6" background="1">
    <dbPr connection="Provider=MSOLAP.8;Integrated Security=SSPI;Persist Security Info=True;Initial Catalog=Starbucks_SSAS;Data Source=LAPTOP-HL8VH15C\DINUSHIKA2022;MDX Compatibility=1;Safety Options=2;MDX Missing Member Mode=Error;Update Isolation Level=2" command="Cube_Starbucks_Sales" commandType="1"/>
    <olapPr sendLocale="1" rowDrillCount="1000"/>
  </connection>
  <connection id="2" xr16:uid="{0A3EF0DC-6601-4393-B9CA-6C89C43C9F2C}" odcFile="C:\Users\USER\OneDrive\Documents\My Data Sources\LAPTOP-HL8VH15C_DINUSHIKA2022 Starbucks_SSAS Cube_Starbucks_Sales.odc" keepAlive="1" name="LAPTOP-HL8VH15C_DINUSHIKA2022 Starbucks_SSAS Cube_Starbucks_Sales1" type="5" refreshedVersion="6" background="1">
    <dbPr connection="Provider=MSOLAP.8;Integrated Security=SSPI;Persist Security Info=True;Initial Catalog=Starbucks_SSAS;Data Source=LAPTOP-HL8VH15C\DINUSHIKA2022;MDX Compatibility=1;Safety Options=2;MDX Missing Member Mode=Error;Update Isolation Level=2" command="Cube_Starbucks_Sales" commandType="1"/>
    <olapPr sendLocale="1" rowDrillCount="1000"/>
  </connection>
  <connection id="3" xr16:uid="{EE462964-7302-4E79-89E3-8FFF2C9A11C1}" odcFile="C:\Users\USER\OneDrive\Documents\My Data Sources\LAPTOP-HL8VH15C_DINUSHIKA2022 Starbucks_SSAS Cube_Starbucks_Sales.odc" keepAlive="1" name="LAPTOP-HL8VH15C_DINUSHIKA2022 Starbucks_SSAS Cube_Starbucks_Sales2" type="5" refreshedVersion="6" background="1">
    <dbPr connection="Provider=MSOLAP.8;Integrated Security=SSPI;Persist Security Info=True;Initial Catalog=Starbucks_SSAS;Data Source=LAPTOP-HL8VH15C\DINUSHIKA2022;MDX Compatibility=1;Safety Options=2;MDX Missing Member Mode=Error;Update Isolation Level=2" command="Cube_Starbucks_Sales" commandType="1"/>
    <olapPr sendLocale="1" rowDrillCount="1000"/>
  </connection>
  <connection id="4" xr16:uid="{C739CCD3-7362-4480-93E8-318DEEC74103}" odcFile="C:\Users\USER\OneDrive\Documents\My Data Sources\LAPTOP-HL8VH15C_DINUSHIKA2022 Starbucks_SSAS Cube_Starbucks_Sales.odc" keepAlive="1" name="LAPTOP-HL8VH15C_DINUSHIKA2022 Starbucks_SSAS Cube_Starbucks_Sales3" type="5" refreshedVersion="6" background="1">
    <dbPr connection="Provider=MSOLAP.8;Integrated Security=SSPI;Persist Security Info=True;Initial Catalog=Starbucks_SSAS;Data Source=LAPTOP-HL8VH15C\DINUSHIKA2022;MDX Compatibility=1;Safety Options=2;MDX Missing Member Mode=Error;Update Isolation Level=2" command="Cube_Starbucks_Sales" commandType="1"/>
    <olapPr sendLocale="1" rowDrillCount="1000"/>
  </connection>
  <connection id="5" xr16:uid="{1389E898-A773-4E4A-9162-156AB9CB29A2}" odcFile="C:\Users\USER\OneDrive\Documents\My Data Sources\LAPTOP-HL8VH15C_DINUSHIKA2022 Starbucks_SSAS Cube_Starbucks_Sales.odc" keepAlive="1" name="LAPTOP-HL8VH15C_DINUSHIKA2022 Starbucks_SSAS Cube_Starbucks_Sales4" type="5" refreshedVersion="6" background="1">
    <dbPr connection="Provider=MSOLAP.8;Integrated Security=SSPI;Persist Security Info=True;Initial Catalog=Starbucks_SSAS;Data Source=LAPTOP-HL8VH15C\DINUSHIKA2022;MDX Compatibility=1;Safety Options=2;MDX Missing Member Mode=Error;Update Isolation Level=2" command="Cube_Starbucks_Sales" commandType="1"/>
    <olapPr sendLocale="1" rowDrillCount="1000"/>
  </connection>
  <connection id="6" xr16:uid="{22B2EEC4-A334-41EA-BE18-1115559699B4}" odcFile="C:\Users\USER\OneDrive\Documents\My Data Sources\LAPTOP-HL8VH15C_DINUSHIKA2022 Starbucks_SSAS Cube_Starbucks_Sales.odc" keepAlive="1" name="LAPTOP-HL8VH15C_DINUSHIKA2022 Starbucks_SSAS Cube_Starbucks_Sales5" type="5" refreshedVersion="6" background="1">
    <dbPr connection="Provider=MSOLAP.8;Integrated Security=SSPI;Persist Security Info=True;Initial Catalog=Starbucks_SSAS;Data Source=LAPTOP-HL8VH15C\DINUSHIKA2022;MDX Compatibility=1;Safety Options=2;MDX Missing Member Mode=Error;Update Isolation Level=2" command="Cube_Starbucks_Sal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LAPTOP-HL8VH15C_DINUSHIKA2022 Starbucks_SSAS Cube_Starbucks_Sales3"/>
    <s v="{[Dim Order].[Order Channel Name].&amp;[Mobile App]}"/>
    <s v="LAPTOP-HL8VH15C_DINUSHIKA2022 Starbucks_SSAS Cube_Starbucks_Sales4"/>
    <s v="{[Dim Store].[Region].&amp;[Northeast]}"/>
    <s v="{[Dim Order].[Order Channel Name].&amp;[Drive-Thru]}"/>
    <s v="{[Dim Date].[Year].&amp;[2024]}"/>
    <s v="{[Dim Date].[Quarter].&amp;[4]}"/>
  </metadataStrings>
  <mdxMetadata count="5">
    <mdx n="0" f="s">
      <ms ns="1" c="0"/>
    </mdx>
    <mdx n="2" f="s">
      <ms ns="3" c="0"/>
    </mdx>
    <mdx n="2" f="s">
      <ms ns="4" c="0"/>
    </mdx>
    <mdx n="2" f="s">
      <ms ns="5" c="0"/>
    </mdx>
    <mdx n="2" f="s">
      <ms ns="6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<sst xmlns="http://schemas.openxmlformats.org/spreadsheetml/2006/main" count="147" uniqueCount="69">
  <si>
    <t>Row Labels</t>
  </si>
  <si>
    <t>2024</t>
  </si>
  <si>
    <t>2025</t>
  </si>
  <si>
    <t>Grand Total</t>
  </si>
  <si>
    <t>Total Spend</t>
  </si>
  <si>
    <t>Item Count</t>
  </si>
  <si>
    <t>1</t>
  </si>
  <si>
    <t>2</t>
  </si>
  <si>
    <t>3</t>
  </si>
  <si>
    <t>4</t>
  </si>
  <si>
    <t>5</t>
  </si>
  <si>
    <t>6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</si>
  <si>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</si>
  <si>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</si>
  <si>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</si>
  <si>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</si>
  <si>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</si>
  <si>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</si>
  <si>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</si>
  <si>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</si>
  <si>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</si>
  <si>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</si>
  <si>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</si>
  <si>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</si>
  <si>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</si>
  <si>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</si>
  <si>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</si>
  <si>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</si>
  <si>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</si>
  <si>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</si>
  <si>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</si>
  <si>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</si>
  <si>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</si>
  <si>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</si>
  <si>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7</t>
  </si>
  <si>
    <t>8</t>
  </si>
  <si>
    <t>9</t>
  </si>
  <si>
    <t>18-24</t>
  </si>
  <si>
    <t>25-34</t>
  </si>
  <si>
    <t>35-44</t>
  </si>
  <si>
    <t>45-54</t>
  </si>
  <si>
    <t>55+</t>
  </si>
  <si>
    <t>Female</t>
  </si>
  <si>
    <t>Male</t>
  </si>
  <si>
    <t>Non-binary</t>
  </si>
  <si>
    <t>Prefer not to say</t>
  </si>
  <si>
    <t>False</t>
  </si>
  <si>
    <t>True</t>
  </si>
  <si>
    <t>Order Channel Name</t>
  </si>
  <si>
    <t>Mobile App</t>
  </si>
  <si>
    <t>Region</t>
  </si>
  <si>
    <t>Quarter</t>
  </si>
  <si>
    <t>Year</t>
  </si>
  <si>
    <t>Column Labels</t>
  </si>
  <si>
    <t>Rural</t>
  </si>
  <si>
    <t>Suburban</t>
  </si>
  <si>
    <t>Urban</t>
  </si>
  <si>
    <t>Total Total Spend</t>
  </si>
  <si>
    <t>Total Customer Satisfaction</t>
  </si>
  <si>
    <t>Customer Satisfaction</t>
  </si>
  <si>
    <t>Northeast</t>
  </si>
  <si>
    <t>Drive-Thru</t>
  </si>
  <si>
    <t>Brewed Coffee</t>
  </si>
  <si>
    <t>Espresso</t>
  </si>
  <si>
    <t>Frappuccino</t>
  </si>
  <si>
    <t>Other</t>
  </si>
  <si>
    <t>Refresher</t>
  </si>
  <si>
    <t>Tea</t>
  </si>
  <si>
    <t>Total Item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</si>
</sst>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5.02566875" backgroundQuery="1" createdVersion="6" refreshedVersion="6" minRefreshableVersion="3" recordCount="0" supportSubquery="1" supportAdvancedDrill="1" xr:uid="{7DE4BD3D-B7F5-4110-82F8-08D794C0AD30}">
  <cacheSource type="external" connectionId="3"/>
  <cacheFields count="5">
    <cacheField name="[Dim Customer].[CustomerHierarchy].[Customer Age Group]" caption="Customer Age Group" numFmtId="0" hierarchy="5" level="1">
      <sharedItems count="5">
        <s v="[Dim Customer].[CustomerHierarchy].[Customer Age Group].&amp;[18-24]" c="18-24"/>
        <s v="[Dim Customer].[CustomerHierarchy].[Customer Age Group].&amp;[25-34]" c="25-34"/>
        <s v="[Dim Customer].[CustomerHierarchy].[Customer Age Group].&amp;[35-44]" c="35-44"/>
        <s v="[Dim Customer].[CustomerHierarchy].[Customer Age Group].&amp;[45-54]" c="45-54"/>
        <s v="[Dim Customer].[CustomerHierarchy].[Customer Age Group].&amp;[55+]" c="55+"/>
      </sharedItems>
    </cacheField>
    <cacheField name="[Dim Customer].[CustomerHierarchy].[Customer Gender]" caption="Customer Gender" numFmtId="0" hierarchy="5" level="2">
      <sharedItems count="8">
        <s v="[Dim Customer].[CustomerHierarchy].[Customer Age Group].&amp;[18-24].&amp;[Female]" c="Female"/>
        <s v="[Dim Customer].[CustomerHierarchy].[Customer Age Group].&amp;[18-24].&amp;[Male]" c="Male"/>
        <s v="[Dim Customer].[CustomerHierarchy].[Customer Age Group].&amp;[18-24].&amp;[Non-binary]" c="Non-binary"/>
        <s v="[Dim Customer].[CustomerHierarchy].[Customer Age Group].&amp;[18-24].&amp;[Prefer not to say]" c="Prefer not to say"/>
        <s v="[Dim Customer].[CustomerHierarchy].[Customer Age Group].&amp;[25-34].&amp;[Female]" c="Female"/>
        <s v="[Dim Customer].[CustomerHierarchy].[Customer Age Group].&amp;[25-34].&amp;[Male]" c="Male"/>
        <s v="[Dim Customer].[CustomerHierarchy].[Customer Age Group].&amp;[25-34].&amp;[Non-binary]" c="Non-binary"/>
        <s v="[Dim Customer].[CustomerHierarchy].[Customer Age Group].&amp;[25-34].&amp;[Prefer not to say]" c="Prefer not to say"/>
      </sharedItems>
    </cacheField>
    <cacheField name="[Dim Customer].[CustomerHierarchy].[Is Rewards Member]" caption="Is Rewards Member" numFmtId="0" hierarchy="5" level="3">
      <sharedItems count="4">
        <s v="[Dim Customer].[CustomerHierarchy].[Customer Age Group].&amp;[18-24].&amp;[Female].&amp;[False]" c="False"/>
        <s v="[Dim Customer].[CustomerHierarchy].[Customer Age Group].&amp;[18-24].&amp;[Female].&amp;[True]" c="True"/>
        <s v="[Dim Customer].[CustomerHierarchy].[Customer Age Group].&amp;[18-24].&amp;[Male].&amp;[False]" c="False"/>
        <s v="[Dim Customer].[CustomerHierarchy].[Customer Age Group].&amp;[18-24].&amp;[Male].&amp;[True]" c="True"/>
      </sharedItems>
    </cacheField>
    <cacheField name="[Measures].[Item Count]" caption="Item Count" numFmtId="0" hierarchy="33" level="32767"/>
    <cacheField name="[Measures].[Total Spend]" caption="Total Spend" numFmtId="0" hierarchy="32" level="32767"/>
  </cacheFields>
  <cacheHierarchies count="3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Age Group]" caption="Customer Age Group" attribute="1" defaultMemberUniqueName="[Dim Customer].[Customer Age Group].[All]" allUniqueName="[Dim Customer].[Customer 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Hierarchy]" caption="CustomerHierarchy" defaultMemberUniqueName="[Dim Customer].[CustomerHierarchy].[All]" allUniqueName="[Dim Customer].[CustomerHierarchy].[All]" dimensionUniqueName="[Dim Customer]" displayFolder="" count="4" unbalanced="0">
      <fieldsUsage count="4">
        <fieldUsage x="-1"/>
        <fieldUsage x="0"/>
        <fieldUsage x="1"/>
        <fieldUsage x="2"/>
      </fieldsUsage>
    </cacheHierarchy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Is Rewards Member]" caption="Is Rewards Member" attribute="1" defaultMemberUniqueName="[Dim Customer].[Is Rewards Member].[All]" allUniqueName="[Dim Customer].[Is Rewards Member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teHierarchy]" caption="DateHierarchy" defaultMemberUniqueName="[Dim Date].[DateHierarchy].[All]" allUniqueName="[Dim Date].[DateHierarch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iscal Year]" caption="Fiscal Year" attribute="1" defaultMemberUniqueName="[Dim Date].[Fiscal Year].[All]" allUniqueName="[Dim Date].[Fiscal Year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nk].[Drink Category]" caption="Drink Category" attribute="1" defaultMemberUniqueName="[Dim Drink].[Drink Category].[All]" allUniqueName="[Dim Drink].[Drink Category].[All]" dimensionUniqueName="[Dim Drink]" displayFolder="" count="0" unbalanced="0"/>
    <cacheHierarchy uniqueName="[Dim Drink].[Drink SK]" caption="Drink SK" attribute="1" keyAttribute="1" defaultMemberUniqueName="[Dim Drink].[Drink SK].[All]" allUniqueName="[Dim Drink].[Drink SK].[All]" dimensionUniqueName="[Dim Drink]" displayFolder="" count="0" unbalanced="0"/>
    <cacheHierarchy uniqueName="[Dim Drink].[Insert Date]" caption="Insert Date" attribute="1" defaultMemberUniqueName="[Dim Drink].[Insert Date].[All]" allUniqueName="[Dim Drink].[Insert Date].[All]" dimensionUniqueName="[Dim Drink]" displayFolder="" count="0" unbalanced="0"/>
    <cacheHierarchy uniqueName="[Dim Order].[Insert Date]" caption="Insert Date" attribute="1" defaultMemberUniqueName="[Dim Order].[Insert Date].[All]" allUniqueName="[Dim Order].[Insert Date].[All]" dimensionUniqueName="[Dim Order]" displayFolder="" count="0" unbalanced="0"/>
    <cacheHierarchy uniqueName="[Dim Order].[Order Channel Name]" caption="Order Channel Name" attribute="1" defaultMemberUniqueName="[Dim Order].[Order Channel Name].[All]" allUniqueName="[Dim Order].[Order Channel Name].[All]" dimensionUniqueName="[Dim Order]" displayFolder="" count="0" unbalanced="0"/>
    <cacheHierarchy uniqueName="[Dim Order].[Order SK]" caption="Order SK" attribute="1" keyAttribute="1" defaultMemberUniqueName="[Dim Order].[Order SK].[All]" allUniqueName="[Dim Order].[Order SK].[All]" dimensionUniqueName="[Dim Order]" displayFolder="" count="0" unbalanced="0"/>
    <cacheHierarchy uniqueName="[Dim Store].[Alternate Store ID]" caption="Alternate Store ID" attribute="1" defaultMemberUniqueName="[Dim Store].[Alternate Store ID].[All]" allUniqueName="[Dim Store].[Alternate Store ID].[All]" dimensionUniqueName="[Dim Store]" displayFolder="" count="0" unbalanced="0"/>
    <cacheHierarchy uniqueName="[Dim Store].[Insert Date]" caption="Insert Date" attribute="1" defaultMemberUniqueName="[Dim Store].[Insert Date].[All]" allUniqueName="[Dim Store].[Insert Date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Location Type]" caption="Store Location Type" attribute="1" defaultMemberUniqueName="[Dim Store].[Store Location Type].[All]" allUniqueName="[Dim Store].[Store Location Type].[All]" dimensionUniqueName="[Dim Store]" displayFolder="" count="0" unbalanced="0"/>
    <cacheHierarchy uniqueName="[Dim Store].[Store SK]" caption="Store SK" attribute="1" keyAttribute="1" defaultMemberUniqueName="[Dim Store].[Store SK].[All]" allUniqueName="[Dim Store].[Store SK].[All]" dimensionUniqueName="[Dim Store]" displayFolder="" count="0" unbalanced="0"/>
    <cacheHierarchy uniqueName="[Measures].[Total Spend]" caption="Total Spend" measure="1" displayFolder="" measureGroup="Fact Sales" count="0" oneField="1">
      <fieldsUsage count="1">
        <fieldUsage x="4"/>
      </fieldsUsage>
    </cacheHierarchy>
    <cacheHierarchy uniqueName="[Measures].[Item Count]" caption="Item Count" measure="1" displayFolder="" measureGroup="Fact Sales" count="0" oneField="1">
      <fieldsUsage count="1">
        <fieldUsage x="3"/>
      </fieldsUsage>
    </cacheHierarchy>
    <cacheHierarchy uniqueName="[Measures].[Customization Count]" caption="Customization Count" measure="1" displayFolder="" measureGroup="Fact Sales" count="0"/>
    <cacheHierarchy uniqueName="[Measures].[Fulfillment Time Min]" caption="Fulfillment Time Min" measure="1" displayFolder="" measureGroup="Fact Sales" count="0"/>
    <cacheHierarchy uniqueName="[Measures].[Customer Satisfaction]" caption="Customer Satisfaction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Drink" uniqueName="[Dim Drink]" caption="Dim Drink"/>
    <dimension name="Dim Order" uniqueName="[Dim Order]" caption="Dim Order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5.575764236113" backgroundQuery="1" createdVersion="6" refreshedVersion="6" minRefreshableVersion="3" recordCount="0" supportSubquery="1" supportAdvancedDrill="1" xr:uid="{DAB85282-5031-47F3-BAAF-0C5B0047C1E4}">
  <cacheSource type="external" connectionId="5"/>
  <cacheFields count="11">
    <cacheField name="[Dim Store].[Region].[Region]" caption="Region" numFmtId="0" hierarchy="29" level="1">
      <sharedItems containsSemiMixedTypes="0" containsString="0"/>
    </cacheField>
    <cacheField name="[Dim Order].[Order Channel Name].[Order Channel Name]" caption="Order Channel Name" numFmtId="0" hierarchy="25" level="1">
      <sharedItems containsSemiMixedTypes="0" containsString="0"/>
    </cacheField>
    <cacheField name="[Dim Date].[Year].[Year]" caption="Year" numFmtId="0" hierarchy="20" level="1">
      <sharedItems containsSemiMixedTypes="0" containsString="0"/>
    </cacheField>
    <cacheField name="[Dim Date].[DateHierarchy].[Year]" caption="Year" numFmtId="0" hierarchy="13" level="1">
      <sharedItems count="2">
        <s v="[Dim Date].[DateHierarchy].[Year].&amp;[2024]" c="2024"/>
        <s v="[Dim Date].[DateHierarchy].[Year].&amp;[2025]" u="1" c="2025"/>
      </sharedItems>
    </cacheField>
    <cacheField name="[Dim Date].[DateHierarchy].[Quarter]" caption="Quarter" numFmtId="0" hierarchy="13" level="2">
      <sharedItems count="3">
        <s v="[Dim Date].[DateHierarchy].[Year].&amp;[2024].&amp;[4]" c="4"/>
        <s v="[Dim Date].[DateHierarchy].[Year].&amp;[2024].&amp;[1]" u="1" c="1"/>
        <s v="[Dim Date].[DateHierarchy].[Year].&amp;[2025].&amp;[1]" u="1" c="1"/>
      </sharedItems>
    </cacheField>
    <cacheField name="[Dim Date].[DateHierarchy].[Month]" caption="Month" numFmtId="0" hierarchy="13" level="3">
      <sharedItems count="3">
        <s v="[Dim Date].[DateHierarchy].[Year].&amp;[2024].&amp;[4].&amp;[10]" c="10"/>
        <s v="[Dim Date].[DateHierarchy].[Year].&amp;[2024].&amp;[4].&amp;[11]" c="11"/>
        <s v="[Dim Date].[DateHierarchy].[Year].&amp;[2024].&amp;[4].&amp;[12]" c="12"/>
      </sharedItems>
    </cacheField>
    <cacheField name="[Dim Date].[DateHierarchy].[Day]" caption="Day" numFmtId="0" hierarchy="13" level="4">
      <sharedItems containsSemiMixedTypes="0" containsString="0"/>
    </cacheField>
    <cacheField name="[Dim Store].[Store Location Type].[Store Location Type]" caption="Store Location Type" numFmtId="0" hierarchy="30" level="1">
      <sharedItems count="3">
        <s v="[Dim Store].[Store Location Type].&amp;[Rural]" c="Rural"/>
        <s v="[Dim Store].[Store Location Type].&amp;[Suburban]" c="Suburban"/>
        <s v="[Dim Store].[Store Location Type].&amp;[Urban]" c="Urban"/>
      </sharedItems>
    </cacheField>
    <cacheField name="[Measures].[Total Spend]" caption="Total Spend" numFmtId="0" hierarchy="32" level="32767"/>
    <cacheField name="[Measures].[Customer Satisfaction]" caption="Customer Satisfaction" numFmtId="0" hierarchy="36" level="32767"/>
    <cacheField name="[Dim Date].[Quarter].[Quarter]" caption="Quarter" numFmtId="0" hierarchy="19" level="1">
      <sharedItems containsSemiMixedTypes="0" containsString="0"/>
    </cacheField>
  </cacheFields>
  <cacheHierarchies count="3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Age Group]" caption="Customer Age Group" attribute="1" defaultMemberUniqueName="[Dim Customer].[Customer Age Group].[All]" allUniqueName="[Dim Customer].[Customer 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Hierarchy]" caption="CustomerHierarchy" defaultMemberUniqueName="[Dim Customer].[CustomerHierarchy].[All]" allUniqueName="[Dim Customer].[CustomerHierarchy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Is Rewards Member]" caption="Is Rewards Member" attribute="1" defaultMemberUniqueName="[Dim Customer].[Is Rewards Member].[All]" allUniqueName="[Dim Customer].[Is Rewards Member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teHierarchy]" caption="DateHierarchy" defaultMemberUniqueName="[Dim Date].[DateHierarchy].[All]" allUniqueName="[Dim Date].[DateHierarchy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iscal Year]" caption="Fiscal Year" attribute="1" defaultMemberUniqueName="[Dim Date].[Fiscal Year].[All]" allUniqueName="[Dim Date].[Fiscal Year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10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Drink].[Drink Category]" caption="Drink Category" attribute="1" defaultMemberUniqueName="[Dim Drink].[Drink Category].[All]" allUniqueName="[Dim Drink].[Drink Category].[All]" dimensionUniqueName="[Dim Drink]" displayFolder="" count="0" unbalanced="0"/>
    <cacheHierarchy uniqueName="[Dim Drink].[Drink SK]" caption="Drink SK" attribute="1" keyAttribute="1" defaultMemberUniqueName="[Dim Drink].[Drink SK].[All]" allUniqueName="[Dim Drink].[Drink SK].[All]" dimensionUniqueName="[Dim Drink]" displayFolder="" count="0" unbalanced="0"/>
    <cacheHierarchy uniqueName="[Dim Drink].[Insert Date]" caption="Insert Date" attribute="1" defaultMemberUniqueName="[Dim Drink].[Insert Date].[All]" allUniqueName="[Dim Drink].[Insert Date].[All]" dimensionUniqueName="[Dim Drink]" displayFolder="" count="0" unbalanced="0"/>
    <cacheHierarchy uniqueName="[Dim Order].[Insert Date]" caption="Insert Date" attribute="1" defaultMemberUniqueName="[Dim Order].[Insert Date].[All]" allUniqueName="[Dim Order].[Insert Date].[All]" dimensionUniqueName="[Dim Order]" displayFolder="" count="0" unbalanced="0"/>
    <cacheHierarchy uniqueName="[Dim Order].[Order Channel Name]" caption="Order Channel Name" attribute="1" defaultMemberUniqueName="[Dim Order].[Order Channel Name].[All]" allUniqueName="[Dim Order].[Order Channel Name].[All]" dimensionUniqueName="[Dim Order]" displayFolder="" count="2" unbalanced="0">
      <fieldsUsage count="2">
        <fieldUsage x="-1"/>
        <fieldUsage x="1"/>
      </fieldsUsage>
    </cacheHierarchy>
    <cacheHierarchy uniqueName="[Dim Order].[Order SK]" caption="Order SK" attribute="1" keyAttribute="1" defaultMemberUniqueName="[Dim Order].[Order SK].[All]" allUniqueName="[Dim Order].[Order SK].[All]" dimensionUniqueName="[Dim Order]" displayFolder="" count="0" unbalanced="0"/>
    <cacheHierarchy uniqueName="[Dim Store].[Alternate Store ID]" caption="Alternate Store ID" attribute="1" defaultMemberUniqueName="[Dim Store].[Alternate Store ID].[All]" allUniqueName="[Dim Store].[Alternate Store ID].[All]" dimensionUniqueName="[Dim Store]" displayFolder="" count="0" unbalanced="0"/>
    <cacheHierarchy uniqueName="[Dim Store].[Insert Date]" caption="Insert Date" attribute="1" defaultMemberUniqueName="[Dim Store].[Insert Date].[All]" allUniqueName="[Dim Store].[Insert Date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2" unbalanced="0">
      <fieldsUsage count="2">
        <fieldUsage x="-1"/>
        <fieldUsage x="0"/>
      </fieldsUsage>
    </cacheHierarchy>
    <cacheHierarchy uniqueName="[Dim Store].[Store Location Type]" caption="Store Location Type" attribute="1" defaultMemberUniqueName="[Dim Store].[Store Location Type].[All]" allUniqueName="[Dim Store].[Store Location Type].[All]" dimensionUniqueName="[Dim Store]" displayFolder="" count="2" unbalanced="0">
      <fieldsUsage count="2">
        <fieldUsage x="-1"/>
        <fieldUsage x="7"/>
      </fieldsUsage>
    </cacheHierarchy>
    <cacheHierarchy uniqueName="[Dim Store].[Store SK]" caption="Store SK" attribute="1" keyAttribute="1" defaultMemberUniqueName="[Dim Store].[Store SK].[All]" allUniqueName="[Dim Store].[Store SK].[All]" dimensionUniqueName="[Dim Store]" displayFolder="" count="0" unbalanced="0"/>
    <cacheHierarchy uniqueName="[Measures].[Total Spend]" caption="Total Spend" measure="1" displayFolder="" measureGroup="Fact Sales" count="0" oneField="1">
      <fieldsUsage count="1">
        <fieldUsage x="8"/>
      </fieldsUsage>
    </cacheHierarchy>
    <cacheHierarchy uniqueName="[Measures].[Item Count]" caption="Item Count" measure="1" displayFolder="" measureGroup="Fact Sales" count="0"/>
    <cacheHierarchy uniqueName="[Measures].[Customization Count]" caption="Customization Count" measure="1" displayFolder="" measureGroup="Fact Sales" count="0"/>
    <cacheHierarchy uniqueName="[Measures].[Fulfillment Time Min]" caption="Fulfillment Time Min" measure="1" displayFolder="" measureGroup="Fact Sales" count="0"/>
    <cacheHierarchy uniqueName="[Measures].[Customer Satisfaction]" caption="Customer Satisfaction" measure="1" displayFolder="" measureGroup="Fact Sales" count="0" oneField="1">
      <fieldsUsage count="1">
        <fieldUsage x="9"/>
      </fieldsUsage>
    </cacheHierarchy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Drink" uniqueName="[Dim Drink]" caption="Dim Drink"/>
    <dimension name="Dim Order" uniqueName="[Dim Order]" caption="Dim Order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5.600318865741" backgroundQuery="1" createdVersion="6" refreshedVersion="6" minRefreshableVersion="3" recordCount="0" supportSubquery="1" supportAdvancedDrill="1" xr:uid="{539B418F-014A-4E7F-B5A6-1E8D877956D2}">
  <cacheSource type="external" connectionId="6"/>
  <cacheFields count="5">
    <cacheField name="[Dim Date].[Year].[Year]" caption="Year" numFmtId="0" hierarchy="20" level="1">
      <sharedItems count="2">
        <s v="[Dim Date].[Year].&amp;[2024]" c="2024"/>
        <s v="[Dim Date].[Year].&amp;[2025]" c="2025"/>
      </sharedItems>
    </cacheField>
    <cacheField name="[Dim Date].[Quarter].[Quarter]" caption="Quarter" numFmtId="0" hierarchy="19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  <cacheField name="[Dim Drink].[Drink Category].[Drink Category]" caption="Drink Category" numFmtId="0" hierarchy="21" level="1">
      <sharedItems count="6">
        <s v="[Dim Drink].[Drink Category].&amp;[Brewed Coffee]" c="Brewed Coffee"/>
        <s v="[Dim Drink].[Drink Category].&amp;[Espresso]" c="Espresso"/>
        <s v="[Dim Drink].[Drink Category].&amp;[Frappuccino]" c="Frappuccino"/>
        <s v="[Dim Drink].[Drink Category].&amp;[Other]" c="Other"/>
        <s v="[Dim Drink].[Drink Category].&amp;[Refresher]" c="Refresher"/>
        <s v="[Dim Drink].[Drink Category].&amp;[Tea]" c="Tea"/>
      </sharedItems>
    </cacheField>
    <cacheField name="[Measures].[Total Spend]" caption="Total Spend" numFmtId="0" hierarchy="32" level="32767"/>
    <cacheField name="[Measures].[Item Count]" caption="Item Count" numFmtId="0" hierarchy="33" level="32767"/>
  </cacheFields>
  <cacheHierarchies count="3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Age Group]" caption="Customer Age Group" attribute="1" defaultMemberUniqueName="[Dim Customer].[Customer Age Group].[All]" allUniqueName="[Dim Customer].[Customer 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Hierarchy]" caption="CustomerHierarchy" defaultMemberUniqueName="[Dim Customer].[CustomerHierarchy].[All]" allUniqueName="[Dim Customer].[CustomerHierarchy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Is Rewards Member]" caption="Is Rewards Member" attribute="1" defaultMemberUniqueName="[Dim Customer].[Is Rewards Member].[All]" allUniqueName="[Dim Customer].[Is Rewards Member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teHierarchy]" caption="DateHierarchy" defaultMemberUniqueName="[Dim Date].[DateHierarchy].[All]" allUniqueName="[Dim Date].[DateHierarchy].[All]" dimensionUniqueName="[Dim Date]" displayFolder="" count="5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iscal Year]" caption="Fiscal Year" attribute="1" defaultMemberUniqueName="[Dim Date].[Fiscal Year].[All]" allUniqueName="[Dim Date].[Fiscal Year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rink].[Drink Category]" caption="Drink Category" attribute="1" defaultMemberUniqueName="[Dim Drink].[Drink Category].[All]" allUniqueName="[Dim Drink].[Drink Category].[All]" dimensionUniqueName="[Dim Drink]" displayFolder="" count="2" unbalanced="0">
      <fieldsUsage count="2">
        <fieldUsage x="-1"/>
        <fieldUsage x="2"/>
      </fieldsUsage>
    </cacheHierarchy>
    <cacheHierarchy uniqueName="[Dim Drink].[Drink SK]" caption="Drink SK" attribute="1" keyAttribute="1" defaultMemberUniqueName="[Dim Drink].[Drink SK].[All]" allUniqueName="[Dim Drink].[Drink SK].[All]" dimensionUniqueName="[Dim Drink]" displayFolder="" count="0" unbalanced="0"/>
    <cacheHierarchy uniqueName="[Dim Drink].[Insert Date]" caption="Insert Date" attribute="1" defaultMemberUniqueName="[Dim Drink].[Insert Date].[All]" allUniqueName="[Dim Drink].[Insert Date].[All]" dimensionUniqueName="[Dim Drink]" displayFolder="" count="0" unbalanced="0"/>
    <cacheHierarchy uniqueName="[Dim Order].[Insert Date]" caption="Insert Date" attribute="1" defaultMemberUniqueName="[Dim Order].[Insert Date].[All]" allUniqueName="[Dim Order].[Insert Date].[All]" dimensionUniqueName="[Dim Order]" displayFolder="" count="0" unbalanced="0"/>
    <cacheHierarchy uniqueName="[Dim Order].[Order Channel Name]" caption="Order Channel Name" attribute="1" defaultMemberUniqueName="[Dim Order].[Order Channel Name].[All]" allUniqueName="[Dim Order].[Order Channel Name].[All]" dimensionUniqueName="[Dim Order]" displayFolder="" count="0" unbalanced="0"/>
    <cacheHierarchy uniqueName="[Dim Order].[Order SK]" caption="Order SK" attribute="1" keyAttribute="1" defaultMemberUniqueName="[Dim Order].[Order SK].[All]" allUniqueName="[Dim Order].[Order SK].[All]" dimensionUniqueName="[Dim Order]" displayFolder="" count="0" unbalanced="0"/>
    <cacheHierarchy uniqueName="[Dim Store].[Alternate Store ID]" caption="Alternate Store ID" attribute="1" defaultMemberUniqueName="[Dim Store].[Alternate Store ID].[All]" allUniqueName="[Dim Store].[Alternate Store ID].[All]" dimensionUniqueName="[Dim Store]" displayFolder="" count="0" unbalanced="0"/>
    <cacheHierarchy uniqueName="[Dim Store].[Insert Date]" caption="Insert Date" attribute="1" defaultMemberUniqueName="[Dim Store].[Insert Date].[All]" allUniqueName="[Dim Store].[Insert Date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Location Type]" caption="Store Location Type" attribute="1" defaultMemberUniqueName="[Dim Store].[Store Location Type].[All]" allUniqueName="[Dim Store].[Store Location Type].[All]" dimensionUniqueName="[Dim Store]" displayFolder="" count="0" unbalanced="0"/>
    <cacheHierarchy uniqueName="[Dim Store].[Store SK]" caption="Store SK" attribute="1" keyAttribute="1" defaultMemberUniqueName="[Dim Store].[Store SK].[All]" allUniqueName="[Dim Store].[Store SK].[All]" dimensionUniqueName="[Dim Store]" displayFolder="" count="0" unbalanced="0"/>
    <cacheHierarchy uniqueName="[Measures].[Total Spend]" caption="Total Spend" measure="1" displayFolder="" measureGroup="Fact Sales" count="0" oneField="1">
      <fieldsUsage count="1">
        <fieldUsage x="3"/>
      </fieldsUsage>
    </cacheHierarchy>
    <cacheHierarchy uniqueName="[Measures].[Item Count]" caption="Item Count" measure="1" displayFolder="" measureGroup="Fact Sales" count="0" oneField="1">
      <fieldsUsage count="1">
        <fieldUsage x="4"/>
      </fieldsUsage>
    </cacheHierarchy>
    <cacheHierarchy uniqueName="[Measures].[Customization Count]" caption="Customization Count" measure="1" displayFolder="" measureGroup="Fact Sales" count="0"/>
    <cacheHierarchy uniqueName="[Measures].[Fulfillment Time Min]" caption="Fulfillment Time Min" measure="1" displayFolder="" measureGroup="Fact Sales" count="0"/>
    <cacheHierarchy uniqueName="[Measures].[Customer Satisfaction]" caption="Customer Satisfaction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Drink" uniqueName="[Dim Drink]" caption="Dim Drink"/>
    <dimension name="Dim Order" uniqueName="[Dim Order]" caption="Dim Order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5.668843055559" backgroundQuery="1" createdVersion="6" refreshedVersion="6" minRefreshableVersion="3" recordCount="0" supportSubquery="1" supportAdvancedDrill="1" xr:uid="{E4DAD96F-F584-4C55-B617-22B7985B4D5F}">
  <cacheSource type="external" connectionId="1"/>
  <cacheFields count="6">
    <cacheField name="[Measures].[Total Spend]" caption="Total Spend" numFmtId="0" hierarchy="31" level="32767"/>
    <cacheField name="[Measures].[Item Count]" caption="Item Count" numFmtId="0" hierarchy="32" level="32767"/>
    <cacheField name="[Dim Date].[DateHierarchy].[Year]" caption="Year" numFmtId="0" hierarchy="12" level="1">
      <sharedItems count="2">
        <s v="[Dim Date].[DateHierarchy].[Year].&amp;[2024]" c="2024"/>
        <s v="[Dim Date].[DateHierarchy].[Year].&amp;[2025]" c="2025"/>
      </sharedItems>
    </cacheField>
    <cacheField name="[Dim Date].[DateHierarchy].[Quarter]" caption="Quarter" numFmtId="0" hierarchy="12" level="2">
      <sharedItems count="6">
        <s v="[Dim Date].[DateHierarchy].[Year].&amp;[2024].&amp;[1]" c="1"/>
        <s v="[Dim Date].[DateHierarchy].[Year].&amp;[2024].&amp;[2]" c="2"/>
        <s v="[Dim Date].[DateHierarchy].[Year].&amp;[2024].&amp;[3]" c="3"/>
        <s v="[Dim Date].[DateHierarchy].[Year].&amp;[2024].&amp;[4]" c="4"/>
        <s v="[Dim Date].[DateHierarchy].[Year].&amp;[2025].&amp;[1]" u="1" c="1"/>
        <s v="[Dim Date].[DateHierarchy].[Year].&amp;[2025].&amp;[2]" u="1" c="2"/>
      </sharedItems>
    </cacheField>
    <cacheField name="[Dim Date].[DateHierarchy].[Month]" caption="Month" numFmtId="0" hierarchy="12" level="3">
      <sharedItems count="7">
        <s v="[Dim Date].[DateHierarchy].[Year].&amp;[2024].&amp;[1].&amp;[1]" c="1"/>
        <s v="[Dim Date].[DateHierarchy].[Year].&amp;[2024].&amp;[1].&amp;[2]" c="2"/>
        <s v="[Dim Date].[DateHierarchy].[Year].&amp;[2024].&amp;[1].&amp;[3]" c="3"/>
        <s v="[Dim Date].[DateHierarchy].[Year].&amp;[2025].&amp;[1].&amp;[1]" u="1" c="1"/>
        <s v="[Dim Date].[DateHierarchy].[Year].&amp;[2025].&amp;[1].&amp;[2]" u="1" c="2"/>
        <s v="[Dim Date].[DateHierarchy].[Year].&amp;[2025].&amp;[1].&amp;[3]" u="1" c="3"/>
        <s v="[Dim Date].[DateHierarchy].[Year].&amp;[2025].&amp;[2].&amp;[4]" u="1" c="4"/>
      </sharedItems>
    </cacheField>
    <cacheField name="[Dim Date].[DateHierarchy].[Day]" caption="Day" numFmtId="0" hierarchy="12" level="4">
      <sharedItems containsSemiMixedTypes="0" containsString="0"/>
    </cacheField>
  </cacheFields>
  <cacheHierarchies count="38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Age Group]" caption="Customer Age Group" attribute="1" defaultMemberUniqueName="[Dim Customer].[Customer Age Group].[All]" allUniqueName="[Dim Customer].[Customer 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Is Rewards Member]" caption="Is Rewards Member" attribute="1" defaultMemberUniqueName="[Dim Customer].[Is Rewards Member].[All]" allUniqueName="[Dim Customer].[Is Rewards Member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teHierarchy]" caption="DateHierarchy" defaultMemberUniqueName="[Dim Date].[DateHierarchy].[All]" allUniqueName="[Dim Date].[DateHierarchy].[All]" dimensionUniqueName="[Dim Dat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iscal Year]" caption="Fiscal Year" attribute="1" defaultMemberUniqueName="[Dim Date].[Fiscal Year].[All]" allUniqueName="[Dim Date].[Fiscal Year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nk].[Drink Category]" caption="Drink Category" attribute="1" defaultMemberUniqueName="[Dim Drink].[Drink Category].[All]" allUniqueName="[Dim Drink].[Drink Category].[All]" dimensionUniqueName="[Dim Drink]" displayFolder="" count="0" unbalanced="0"/>
    <cacheHierarchy uniqueName="[Dim Drink].[Drink SK]" caption="Drink SK" attribute="1" keyAttribute="1" defaultMemberUniqueName="[Dim Drink].[Drink SK].[All]" allUniqueName="[Dim Drink].[Drink SK].[All]" dimensionUniqueName="[Dim Drink]" displayFolder="" count="0" unbalanced="0"/>
    <cacheHierarchy uniqueName="[Dim Drink].[Insert Date]" caption="Insert Date" attribute="1" defaultMemberUniqueName="[Dim Drink].[Insert Date].[All]" allUniqueName="[Dim Drink].[Insert Date].[All]" dimensionUniqueName="[Dim Drink]" displayFolder="" count="0" unbalanced="0"/>
    <cacheHierarchy uniqueName="[Dim Order].[Insert Date]" caption="Insert Date" attribute="1" defaultMemberUniqueName="[Dim Order].[Insert Date].[All]" allUniqueName="[Dim Order].[Insert Date].[All]" dimensionUniqueName="[Dim Order]" displayFolder="" count="0" unbalanced="0"/>
    <cacheHierarchy uniqueName="[Dim Order].[Order Channel Name]" caption="Order Channel Name" attribute="1" defaultMemberUniqueName="[Dim Order].[Order Channel Name].[All]" allUniqueName="[Dim Order].[Order Channel Name].[All]" dimensionUniqueName="[Dim Order]" displayFolder="" count="0" unbalanced="0"/>
    <cacheHierarchy uniqueName="[Dim Order].[Order SK]" caption="Order SK" attribute="1" keyAttribute="1" defaultMemberUniqueName="[Dim Order].[Order SK].[All]" allUniqueName="[Dim Order].[Order SK].[All]" dimensionUniqueName="[Dim Order]" displayFolder="" count="0" unbalanced="0"/>
    <cacheHierarchy uniqueName="[Dim Store].[Alternate Store ID]" caption="Alternate Store ID" attribute="1" defaultMemberUniqueName="[Dim Store].[Alternate Store ID].[All]" allUniqueName="[Dim Store].[Alternate Store ID].[All]" dimensionUniqueName="[Dim Store]" displayFolder="" count="0" unbalanced="0"/>
    <cacheHierarchy uniqueName="[Dim Store].[Insert Date]" caption="Insert Date" attribute="1" defaultMemberUniqueName="[Dim Store].[Insert Date].[All]" allUniqueName="[Dim Store].[Insert Date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Location Type]" caption="Store Location Type" attribute="1" defaultMemberUniqueName="[Dim Store].[Store Location Type].[All]" allUniqueName="[Dim Store].[Store Location Type].[All]" dimensionUniqueName="[Dim Store]" displayFolder="" count="0" unbalanced="0"/>
    <cacheHierarchy uniqueName="[Dim Store].[Store SK]" caption="Store SK" attribute="1" keyAttribute="1" defaultMemberUniqueName="[Dim Store].[Store SK].[All]" allUniqueName="[Dim Store].[Store SK].[All]" dimensionUniqueName="[Dim Store]" displayFolder="" count="0" unbalanced="0"/>
    <cacheHierarchy uniqueName="[Measures].[Total Spend]" caption="Total Spend" measure="1" displayFolder="" measureGroup="Fact Sales" count="0" oneField="1">
      <fieldsUsage count="1">
        <fieldUsage x="0"/>
      </fieldsUsage>
    </cacheHierarchy>
    <cacheHierarchy uniqueName="[Measures].[Item Count]" caption="Item Count" measure="1" displayFolder="" measureGroup="Fact Sales" count="0" oneField="1">
      <fieldsUsage count="1">
        <fieldUsage x="1"/>
      </fieldsUsage>
    </cacheHierarchy>
    <cacheHierarchy uniqueName="[Measures].[Customization Count]" caption="Customization Count" measure="1" displayFolder="" measureGroup="Fact Sales" count="0"/>
    <cacheHierarchy uniqueName="[Measures].[Fulfillment Time Min]" caption="Fulfillment Time Min" measure="1" displayFolder="" measureGroup="Fact Sales" count="0"/>
    <cacheHierarchy uniqueName="[Measures].[Customer Satisfaction]" caption="Customer Satisfaction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Drink" uniqueName="[Dim Drink]" caption="Dim Drink"/>
    <dimension name="Dim Order" uniqueName="[Dim Order]" caption="Dim Order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USER" refreshedDate="46115.689201273148" backgroundQuery="1" createdVersion="6" refreshedVersion="6" minRefreshableVersion="3" recordCount="0" supportSubquery="1" supportAdvancedDrill="1" xr:uid="{AE4FA66D-EF99-4842-B48B-5D7E042EB454}">
  <cacheSource type="external" connectionId="4"/>
  <cacheFields count="7">
    <cacheField name="[Dim Order].[Order Channel Name].[Order Channel Name]" caption="Order Channel Name" numFmtId="0" hierarchy="25" level="1">
      <sharedItems containsSemiMixedTypes="0" containsString="0"/>
    </cacheField>
    <cacheField name="[Measures].[Total Spend]" caption="Total Spend" numFmtId="0" hierarchy="32" level="32767"/>
    <cacheField name="[Measures].[Item Count]" caption="Item Count" numFmtId="0" hierarchy="33" level="32767"/>
    <cacheField name="[Dim Date].[DateHierarchy].[Year]" caption="Year" numFmtId="0" hierarchy="13" level="1">
      <sharedItems count="2">
        <s v="[Dim Date].[DateHierarchy].[Year].&amp;[2024]" c="2024"/>
        <s v="[Dim Date].[DateHierarchy].[Year].&amp;[2025]" c="2025"/>
      </sharedItems>
    </cacheField>
    <cacheField name="[Dim Date].[DateHierarchy].[Quarter]" caption="Quarter" numFmtId="0" hierarchy="13" level="2">
      <sharedItems count="4">
        <s v="[Dim Date].[DateHierarchy].[Year].&amp;[2024].&amp;[1]" c="1"/>
        <s v="[Dim Date].[DateHierarchy].[Year].&amp;[2024].&amp;[2]" c="2"/>
        <s v="[Dim Date].[DateHierarchy].[Year].&amp;[2024].&amp;[3]" c="3"/>
        <s v="[Dim Date].[DateHierarchy].[Year].&amp;[2024].&amp;[4]" c="4"/>
      </sharedItems>
    </cacheField>
    <cacheField name="[Dim Date].[DateHierarchy].[Month]" caption="Month" numFmtId="0" hierarchy="13" level="3">
      <sharedItems containsSemiMixedTypes="0" containsString="0"/>
    </cacheField>
    <cacheField name="[Dim Date].[DateHierarchy].[Day]" caption="Day" numFmtId="0" hierarchy="13" level="4">
      <sharedItems containsSemiMixedTypes="0" containsString="0"/>
    </cacheField>
  </cacheFields>
  <cacheHierarchies count="39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2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2" unbalanced="0"/>
    <cacheHierarchy uniqueName="[Dim Customer].[Customer Age Group]" caption="Customer Age Group" attribute="1" defaultMemberUniqueName="[Dim Customer].[Customer Age Group].[All]" allUniqueName="[Dim Customer].[Customer Age Group].[All]" dimensionUniqueName="[Dim Customer]" displayFolder="" count="2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2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2" unbalanced="0"/>
    <cacheHierarchy uniqueName="[Dim Customer].[CustomerHierarchy]" caption="CustomerHierarchy" defaultMemberUniqueName="[Dim Customer].[CustomerHierarchy].[All]" allUniqueName="[Dim Customer].[CustomerHierarchy].[All]" dimensionUniqueName="[Dim Customer]" displayFolder="" count="4" unbalanced="0"/>
    <cacheHierarchy uniqueName="[Dim Customer].[End Date]" caption="End Date" attribute="1" defaultMemberUniqueName="[Dim Customer].[End Date].[All]" allUniqueName="[Dim Customer].[End Date].[All]" dimensionUniqueName="[Dim Customer]" displayFolder="" count="2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2" unbalanced="0"/>
    <cacheHierarchy uniqueName="[Dim Customer].[Is Rewards Member]" caption="Is Rewards Member" attribute="1" defaultMemberUniqueName="[Dim Customer].[Is Rewards Member].[All]" allUniqueName="[Dim Customer].[Is Rewards Member].[All]" dimensionUniqueName="[Dim Customer]" displayFolder="" count="2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2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2" unbalanced="0"/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SK]" caption="Date SK" attribute="1" keyAttribute="1" defaultMemberUniqueName="[Dim Date].[Date SK].[All]" allUniqueName="[Dim Date].[Date SK].[All]" dimensionUniqueName="[Dim Date]" displayFolder="" count="2" unbalanced="0"/>
    <cacheHierarchy uniqueName="[Dim Date].[DateHierarchy]" caption="DateHierarchy" defaultMemberUniqueName="[Dim Date].[DateHierarchy].[All]" allUniqueName="[Dim Date].[DateHierarchy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Day Of Week]" caption="Day Of Week" attribute="1" defaultMemberUniqueName="[Dim Date].[Day Of Week].[All]" allUniqueName="[Dim Date].[Day Of Week].[All]" dimensionUniqueName="[Dim Date]" displayFolder="" count="2" unbalanced="0"/>
    <cacheHierarchy uniqueName="[Dim Date].[Fiscal Year]" caption="Fiscal Year" attribute="1" defaultMemberUniqueName="[Dim Date].[Fiscal Year].[All]" allUniqueName="[Dim Date].[Fiscal Year].[All]" dimensionUniqueName="[Dim Date]" displayFolder="" count="2" unbalanced="0"/>
    <cacheHierarchy uniqueName="[Dim Date].[Is Weekend]" caption="Is Weekend" attribute="1" defaultMemberUniqueName="[Dim Date].[Is Weekend].[All]" allUniqueName="[Dim Date].[Is Weekend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Drink].[Drink Category]" caption="Drink Category" attribute="1" defaultMemberUniqueName="[Dim Drink].[Drink Category].[All]" allUniqueName="[Dim Drink].[Drink Category].[All]" dimensionUniqueName="[Dim Drink]" displayFolder="" count="2" unbalanced="0"/>
    <cacheHierarchy uniqueName="[Dim Drink].[Drink SK]" caption="Drink SK" attribute="1" keyAttribute="1" defaultMemberUniqueName="[Dim Drink].[Drink SK].[All]" allUniqueName="[Dim Drink].[Drink SK].[All]" dimensionUniqueName="[Dim Drink]" displayFolder="" count="2" unbalanced="0"/>
    <cacheHierarchy uniqueName="[Dim Drink].[Insert Date]" caption="Insert Date" attribute="1" defaultMemberUniqueName="[Dim Drink].[Insert Date].[All]" allUniqueName="[Dim Drink].[Insert Date].[All]" dimensionUniqueName="[Dim Drink]" displayFolder="" count="2" unbalanced="0"/>
    <cacheHierarchy uniqueName="[Dim Order].[Insert Date]" caption="Insert Date" attribute="1" defaultMemberUniqueName="[Dim Order].[Insert Date].[All]" allUniqueName="[Dim Order].[Insert Date].[All]" dimensionUniqueName="[Dim Order]" displayFolder="" count="2" unbalanced="0"/>
    <cacheHierarchy uniqueName="[Dim Order].[Order Channel Name]" caption="Order Channel Name" attribute="1" defaultMemberUniqueName="[Dim Order].[Order Channel Name].[All]" allUniqueName="[Dim Order].[Order Channel Name].[All]" dimensionUniqueName="[Dim Order]" displayFolder="" count="2" unbalanced="0">
      <fieldsUsage count="2">
        <fieldUsage x="-1"/>
        <fieldUsage x="0"/>
      </fieldsUsage>
    </cacheHierarchy>
    <cacheHierarchy uniqueName="[Dim Order].[Order SK]" caption="Order SK" attribute="1" keyAttribute="1" defaultMemberUniqueName="[Dim Order].[Order SK].[All]" allUniqueName="[Dim Order].[Order SK].[All]" dimensionUniqueName="[Dim Order]" displayFolder="" count="2" unbalanced="0"/>
    <cacheHierarchy uniqueName="[Dim Store].[Alternate Store ID]" caption="Alternate Store ID" attribute="1" defaultMemberUniqueName="[Dim Store].[Alternate Store ID].[All]" allUniqueName="[Dim Store].[Alternate Store ID].[All]" dimensionUniqueName="[Dim Store]" displayFolder="" count="2" unbalanced="0"/>
    <cacheHierarchy uniqueName="[Dim Store].[Insert Date]" caption="Insert Date" attribute="1" defaultMemberUniqueName="[Dim Store].[Insert Date].[All]" allUniqueName="[Dim Store].[Insert Date].[All]" dimensionUniqueName="[Dim Store]" displayFolder="" count="2" unbalanced="0"/>
    <cacheHierarchy uniqueName="[Dim Store].[Region]" caption="Region" attribute="1" defaultMemberUniqueName="[Dim Store].[Region].[All]" allUniqueName="[Dim Store].[Region].[All]" dimensionUniqueName="[Dim Store]" displayFolder="" count="2" unbalanced="0"/>
    <cacheHierarchy uniqueName="[Dim Store].[Store Location Type]" caption="Store Location Type" attribute="1" defaultMemberUniqueName="[Dim Store].[Store Location Type].[All]" allUniqueName="[Dim Store].[Store Location Type].[All]" dimensionUniqueName="[Dim Store]" displayFolder="" count="2" unbalanced="0"/>
    <cacheHierarchy uniqueName="[Dim Store].[Store SK]" caption="Store SK" attribute="1" keyAttribute="1" defaultMemberUniqueName="[Dim Store].[Store SK].[All]" allUniqueName="[Dim Store].[Store SK].[All]" dimensionUniqueName="[Dim Store]" displayFolder="" count="2" unbalanced="0"/>
    <cacheHierarchy uniqueName="[Measures].[Total Spend]" caption="Total Spend" measure="1" displayFolder="" measureGroup="Fact Sales" count="0" oneField="1">
      <fieldsUsage count="1">
        <fieldUsage x="1"/>
      </fieldsUsage>
    </cacheHierarchy>
    <cacheHierarchy uniqueName="[Measures].[Item Count]" caption="Item Count" measure="1" displayFolder="" measureGroup="Fact Sales" count="0" oneField="1">
      <fieldsUsage count="1">
        <fieldUsage x="2"/>
      </fieldsUsage>
    </cacheHierarchy>
    <cacheHierarchy uniqueName="[Measures].[Customization Count]" caption="Customization Count" measure="1" displayFolder="" measureGroup="Fact Sales" count="0"/>
    <cacheHierarchy uniqueName="[Measures].[Fulfillment Time Min]" caption="Fulfillment Time Min" measure="1" displayFolder="" measureGroup="Fact Sales" count="0"/>
    <cacheHierarchy uniqueName="[Measures].[Customer Satisfaction]" caption="Customer Satisfaction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Drink" uniqueName="[Dim Drink]" caption="Dim Drink"/>
    <dimension name="Dim Order" uniqueName="[Dim Order]" caption="Dim Order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5.977367361113" backgroundQuery="1" createdVersion="6" refreshedVersion="6" minRefreshableVersion="3" recordCount="0" supportSubquery="1" supportAdvancedDrill="1" xr:uid="{89E9749E-BC20-4A14-9FC8-2597171B09F1}">
  <cacheSource type="external" connectionId="2"/>
  <cacheFields count="6">
    <cacheField name="[Dim Date].[DateHierarchy].[Year]" caption="Year" numFmtId="0" hierarchy="12" level="1">
      <sharedItems count="2">
        <s v="[Dim Date].[DateHierarchy].[Year].&amp;[2024]" c="2024"/>
        <s v="[Dim Date].[DateHierarchy].[Year].&amp;[2025]" c="2025"/>
      </sharedItems>
    </cacheField>
    <cacheField name="[Dim Date].[DateHierarchy].[Quarter]" caption="Quarter" numFmtId="0" hierarchy="12" level="2">
      <sharedItems count="4">
        <s v="[Dim Date].[DateHierarchy].[Year].&amp;[2024].&amp;[1]" c="1"/>
        <s v="[Dim Date].[DateHierarchy].[Year].&amp;[2024].&amp;[2]" c="2"/>
        <s v="[Dim Date].[DateHierarchy].[Year].&amp;[2024].&amp;[3]" c="3"/>
        <s v="[Dim Date].[DateHierarchy].[Year].&amp;[2024].&amp;[4]" c="4"/>
      </sharedItems>
    </cacheField>
    <cacheField name="[Dim Date].[DateHierarchy].[Month]" caption="Month" numFmtId="0" hierarchy="12" level="3">
      <sharedItems count="3">
        <s v="[Dim Date].[DateHierarchy].[Year].&amp;[2024].&amp;[1].&amp;[1]" c="1"/>
        <s v="[Dim Date].[DateHierarchy].[Year].&amp;[2024].&amp;[1].&amp;[2]" c="2"/>
        <s v="[Dim Date].[DateHierarchy].[Year].&amp;[2024].&amp;[1].&amp;[3]" c="3"/>
      </sharedItems>
    </cacheField>
    <cacheField name="[Dim Date].[DateHierarchy].[Day]" caption="Day" numFmtId="0" hierarchy="12" level="4">
      <sharedItems count="31">
        <s v="[Dim Date].[DateHierarchy].[Year].&amp;[2024].&amp;[1].&amp;[1].&amp;[1]" c="1"/>
        <s v="[Dim Date].[DateHierarchy].[Year].&amp;[2024].&amp;[1].&amp;[1].&amp;[10]" c="10"/>
        <s v="[Dim Date].[DateHierarchy].[Year].&amp;[2024].&amp;[1].&amp;[1].&amp;[11]" c="11"/>
        <s v="[Dim Date].[DateHierarchy].[Year].&amp;[2024].&amp;[1].&amp;[1].&amp;[12]" c="12"/>
        <s v="[Dim Date].[DateHierarchy].[Year].&amp;[2024].&amp;[1].&amp;[1].&amp;[13]" c="13"/>
        <s v="[Dim Date].[DateHierarchy].[Year].&amp;[2024].&amp;[1].&amp;[1].&amp;[14]" c="14"/>
        <s v="[Dim Date].[DateHierarchy].[Year].&amp;[2024].&amp;[1].&amp;[1].&amp;[15]" c="15"/>
        <s v="[Dim Date].[DateHierarchy].[Year].&amp;[2024].&amp;[1].&amp;[1].&amp;[16]" c="16"/>
        <s v="[Dim Date].[DateHierarchy].[Year].&amp;[2024].&amp;[1].&amp;[1].&amp;[17]" c="17"/>
        <s v="[Dim Date].[DateHierarchy].[Year].&amp;[2024].&amp;[1].&amp;[1].&amp;[18]" c="18"/>
        <s v="[Dim Date].[DateHierarchy].[Year].&amp;[2024].&amp;[1].&amp;[1].&amp;[19]" c="19"/>
        <s v="[Dim Date].[DateHierarchy].[Year].&amp;[2024].&amp;[1].&amp;[1].&amp;[2]" c="2"/>
        <s v="[Dim Date].[DateHierarchy].[Year].&amp;[2024].&amp;[1].&amp;[1].&amp;[20]" c="20"/>
        <s v="[Dim Date].[DateHierarchy].[Year].&amp;[2024].&amp;[1].&amp;[1].&amp;[21]" c="21"/>
        <s v="[Dim Date].[DateHierarchy].[Year].&amp;[2024].&amp;[1].&amp;[1].&amp;[22]" c="22"/>
        <s v="[Dim Date].[DateHierarchy].[Year].&amp;[2024].&amp;[1].&amp;[1].&amp;[23]" c="23"/>
        <s v="[Dim Date].[DateHierarchy].[Year].&amp;[2024].&amp;[1].&amp;[1].&amp;[24]" c="24"/>
        <s v="[Dim Date].[DateHierarchy].[Year].&amp;[2024].&amp;[1].&amp;[1].&amp;[25]" c="25"/>
        <s v="[Dim Date].[DateHierarchy].[Year].&amp;[2024].&amp;[1].&amp;[1].&amp;[26]" c="26"/>
        <s v="[Dim Date].[DateHierarchy].[Year].&amp;[2024].&amp;[1].&amp;[1].&amp;[27]" c="27"/>
        <s v="[Dim Date].[DateHierarchy].[Year].&amp;[2024].&amp;[1].&amp;[1].&amp;[28]" c="28"/>
        <s v="[Dim Date].[DateHierarchy].[Year].&amp;[2024].&amp;[1].&amp;[1].&amp;[29]" c="29"/>
        <s v="[Dim Date].[DateHierarchy].[Year].&amp;[2024].&amp;[1].&amp;[1].&amp;[3]" c="3"/>
        <s v="[Dim Date].[DateHierarchy].[Year].&amp;[2024].&amp;[1].&amp;[1].&amp;[30]" c="30"/>
        <s v="[Dim Date].[DateHierarchy].[Year].&amp;[2024].&amp;[1].&amp;[1].&amp;[31]" c="31"/>
        <s v="[Dim Date].[DateHierarchy].[Year].&amp;[2024].&amp;[1].&amp;[1].&amp;[4]" c="4"/>
        <s v="[Dim Date].[DateHierarchy].[Year].&amp;[2024].&amp;[1].&amp;[1].&amp;[5]" c="5"/>
        <s v="[Dim Date].[DateHierarchy].[Year].&amp;[2024].&amp;[1].&amp;[1].&amp;[6]" c="6"/>
        <s v="[Dim Date].[DateHierarchy].[Year].&amp;[2024].&amp;[1].&amp;[1].&amp;[7]" c="7"/>
        <s v="[Dim Date].[DateHierarchy].[Year].&amp;[2024].&amp;[1].&amp;[1].&amp;[8]" c="8"/>
        <s v="[Dim Date].[DateHierarchy].[Year].&amp;[2024].&amp;[1].&amp;[1].&amp;[9]" c="9"/>
      </sharedItems>
    </cacheField>
    <cacheField name="[Measures].[Total Spend]" caption="Total Spend" numFmtId="0" hierarchy="31" level="32767"/>
    <cacheField name="[Measures].[Item Count]" caption="Item Count" numFmtId="0" hierarchy="32" level="32767"/>
  </cacheFields>
  <cacheHierarchies count="38"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urrent Flag]" caption="Current Flag" attribute="1" defaultMemberUniqueName="[Dim Customer].[Current Flag].[All]" allUniqueName="[Dim Customer].[Current Flag].[All]" dimensionUniqueName="[Dim Customer]" displayFolder="" count="0" unbalanced="0"/>
    <cacheHierarchy uniqueName="[Dim Customer].[Customer Age Group]" caption="Customer Age Group" attribute="1" defaultMemberUniqueName="[Dim Customer].[Customer Age Group].[All]" allUniqueName="[Dim Customer].[Customer Age Group].[All]" dimensionUniqueName="[Dim Customer]" displayFolder="" count="0" unbalanced="0"/>
    <cacheHierarchy uniqueName="[Dim Customer].[Customer Gender]" caption="Customer Gender" attribute="1" defaultMemberUniqueName="[Dim Customer].[Customer Gender].[All]" allUniqueName="[Dim Customer].[Customer Gender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Is Rewards Member]" caption="Is Rewards Member" attribute="1" defaultMemberUniqueName="[Dim Customer].[Is Rewards Member].[All]" allUniqueName="[Dim Customer].[Is Rewards Member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teHierarchy]" caption="DateHierarchy" defaultMemberUniqueName="[Dim Date].[DateHierarchy].[All]" allUniqueName="[Dim Date].[Date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iscal Year]" caption="Fiscal Year" attribute="1" defaultMemberUniqueName="[Dim Date].[Fiscal Year].[All]" allUniqueName="[Dim Date].[Fiscal Year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nk].[Drink Category]" caption="Drink Category" attribute="1" defaultMemberUniqueName="[Dim Drink].[Drink Category].[All]" allUniqueName="[Dim Drink].[Drink Category].[All]" dimensionUniqueName="[Dim Drink]" displayFolder="" count="0" unbalanced="0"/>
    <cacheHierarchy uniqueName="[Dim Drink].[Drink SK]" caption="Drink SK" attribute="1" keyAttribute="1" defaultMemberUniqueName="[Dim Drink].[Drink SK].[All]" allUniqueName="[Dim Drink].[Drink SK].[All]" dimensionUniqueName="[Dim Drink]" displayFolder="" count="0" unbalanced="0"/>
    <cacheHierarchy uniqueName="[Dim Drink].[Insert Date]" caption="Insert Date" attribute="1" defaultMemberUniqueName="[Dim Drink].[Insert Date].[All]" allUniqueName="[Dim Drink].[Insert Date].[All]" dimensionUniqueName="[Dim Drink]" displayFolder="" count="0" unbalanced="0"/>
    <cacheHierarchy uniqueName="[Dim Order].[Insert Date]" caption="Insert Date" attribute="1" defaultMemberUniqueName="[Dim Order].[Insert Date].[All]" allUniqueName="[Dim Order].[Insert Date].[All]" dimensionUniqueName="[Dim Order]" displayFolder="" count="0" unbalanced="0"/>
    <cacheHierarchy uniqueName="[Dim Order].[Order Channel Name]" caption="Order Channel Name" attribute="1" defaultMemberUniqueName="[Dim Order].[Order Channel Name].[All]" allUniqueName="[Dim Order].[Order Channel Name].[All]" dimensionUniqueName="[Dim Order]" displayFolder="" count="0" unbalanced="0"/>
    <cacheHierarchy uniqueName="[Dim Order].[Order SK]" caption="Order SK" attribute="1" keyAttribute="1" defaultMemberUniqueName="[Dim Order].[Order SK].[All]" allUniqueName="[Dim Order].[Order SK].[All]" dimensionUniqueName="[Dim Order]" displayFolder="" count="0" unbalanced="0"/>
    <cacheHierarchy uniqueName="[Dim Store].[Alternate Store ID]" caption="Alternate Store ID" attribute="1" defaultMemberUniqueName="[Dim Store].[Alternate Store ID].[All]" allUniqueName="[Dim Store].[Alternate Store ID].[All]" dimensionUniqueName="[Dim Store]" displayFolder="" count="0" unbalanced="0"/>
    <cacheHierarchy uniqueName="[Dim Store].[Insert Date]" caption="Insert Date" attribute="1" defaultMemberUniqueName="[Dim Store].[Insert Date].[All]" allUniqueName="[Dim Store].[Insert Date].[All]" dimensionUniqueName="[Dim Stor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Location Type]" caption="Store Location Type" attribute="1" defaultMemberUniqueName="[Dim Store].[Store Location Type].[All]" allUniqueName="[Dim Store].[Store Location Type].[All]" dimensionUniqueName="[Dim Store]" displayFolder="" count="0" unbalanced="0"/>
    <cacheHierarchy uniqueName="[Dim Store].[Store SK]" caption="Store SK" attribute="1" keyAttribute="1" defaultMemberUniqueName="[Dim Store].[Store SK].[All]" allUniqueName="[Dim Store].[Store SK].[All]" dimensionUniqueName="[Dim Store]" displayFolder="" count="0" unbalanced="0"/>
    <cacheHierarchy uniqueName="[Measures].[Total Spend]" caption="Total Spend" measure="1" displayFolder="" measureGroup="Fact Sales" count="0" oneField="1">
      <fieldsUsage count="1">
        <fieldUsage x="4"/>
      </fieldsUsage>
    </cacheHierarchy>
    <cacheHierarchy uniqueName="[Measures].[Item Count]" caption="Item Count" measure="1" displayFolder="" measureGroup="Fact Sales" count="0" oneField="1">
      <fieldsUsage count="1">
        <fieldUsage x="5"/>
      </fieldsUsage>
    </cacheHierarchy>
    <cacheHierarchy uniqueName="[Measures].[Customization Count]" caption="Customization Count" measure="1" displayFolder="" measureGroup="Fact Sales" count="0"/>
    <cacheHierarchy uniqueName="[Measures].[Fulfillment Time Min]" caption="Fulfillment Time Min" measure="1" displayFolder="" measureGroup="Fact Sales" count="0"/>
    <cacheHierarchy uniqueName="[Measures].[Customer Satisfaction]" caption="Customer Satisfaction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Drink" uniqueName="[Dim Drink]" caption="Dim Drink"/>
    <dimension name="Dim Order" uniqueName="[Dim Order]" caption="Dim Order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3E65B-1442-40CE-9367-93476C790385}" name="PivotTable1" cacheId="43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fieldListSortAscending="1">
  <location ref="S1:U4" firstHeaderRow="0" firstDataRow="1" firstDataCol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>
      <items count="6">
        <item c="1" x="0"/>
        <item c="1" x="1"/>
        <item c="1" x="2"/>
        <item c="1" x="3"/>
        <item x="4" d="1"/>
        <item x="5" d="1"/>
      </items>
    </pivotField>
    <pivotField axis="axisRow" subtotalTop="0" showAll="0" dataSourceSort="1" defaultSubtotal="0">
      <items count="7">
        <item c="1" x="0" d="1"/>
        <item c="1" x="1"/>
        <item c="1" x="2"/>
        <item x="3" d="1"/>
        <item x="4" d="1"/>
        <item x="5" d="1"/>
        <item x="6" d="1"/>
      </items>
    </pivotField>
    <pivotField axis="axisRow" subtotalTop="0" showAll="0" dataSourceSort="1" defaultSubtota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0" baseField="0" baseItem="0"/>
    <dataField fld="1" baseField="0" baseItem="0"/>
  </dataFields>
  <pivotHierarchies count="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C168C-BB81-4482-B4E3-407144DC75F0}" name="PivotTable3" cacheId="59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E1:G42" firstHeaderRow="0" firstDataRow="1" firstDataCol="1"/>
  <pivotFields count="6">
    <pivotField axis="axisRow" allDrilled="1" subtotalTop="0" showAll="0" dataSourceSort="1" defaultSubtotal="0">
      <items count="2">
        <item c="1" x="0" d="1"/>
        <item c="1" x="1"/>
      </items>
    </pivotField>
    <pivotField axis="axisRow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3">
        <item c="1" x="0" d="1"/>
        <item c="1" x="1"/>
        <item c="1" x="2"/>
      </items>
    </pivotField>
    <pivotField axis="axisRow" subtotalTop="0" showAll="0" dataSourceSort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  <pivotField dataField="1" subtotalTop="0" showAll="0" defaultSubtotal="0"/>
  </pivotFields>
  <rowFields count="4">
    <field x="0"/>
    <field x="1"/>
    <field x="2"/>
    <field x="3"/>
  </rowFields>
  <rowItems count="4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"/>
    </i>
    <i r="2">
      <x v="2"/>
    </i>
    <i r="1">
      <x v="1"/>
    </i>
    <i r="1">
      <x v="2"/>
    </i>
    <i r="1"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fld="4" baseField="0" baseItem="0"/>
    <dataField fld="5" baseField="0" baseItem="0"/>
  </dataFields>
  <pivotHierarchies count="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1CE51-46F7-45E9-B715-038F3E048621}" name="PivotTable6" cacheId="22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fieldListSortAscending="1">
  <location ref="D1:F19" firstHeaderRow="0" firstDataRow="1" firstDataCol="1"/>
  <pivotFields count="5">
    <pivotField axis="axisRow" allDrilled="1" subtotalTop="0" showAll="0" dataSourceSort="1" defaultSubtotal="0">
      <items count="5">
        <item c="1" x="0" d="1"/>
        <item c="1" x="1" d="1"/>
        <item c="1" x="2"/>
        <item c="1" x="3"/>
        <item c="1" x="4"/>
      </items>
    </pivotField>
    <pivotField axis="axisRow" subtotalTop="0" showAll="0" dataSourceSort="1" defaultSubtotal="0">
      <items count="8">
        <item c="1" x="0" d="1"/>
        <item c="1" x="1" d="1"/>
        <item c="1" x="2"/>
        <item c="1" x="3"/>
        <item c="1" x="4"/>
        <item c="1" x="5"/>
        <item c="1" x="6"/>
        <item c="1" x="7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18">
    <i>
      <x/>
    </i>
    <i r="1">
      <x/>
    </i>
    <i r="2">
      <x/>
    </i>
    <i r="2">
      <x v="1"/>
    </i>
    <i r="1">
      <x v="1"/>
    </i>
    <i r="2">
      <x v="2"/>
    </i>
    <i r="2">
      <x v="3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3" baseField="0" baseItem="0"/>
    <dataField fld="4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19992-DEC8-492E-8591-8016B0B2EDDE}" name="PivotTable7" cacheId="44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fieldListSortAscending="1">
  <location ref="G3:I10" firstHeaderRow="0" firstDataRow="1" firstDataCol="1" rowPageCount="1" colPageCount="1"/>
  <pivotFields count="7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2">
        <item c="1" x="0" d="1"/>
        <item c="1" x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25" name="[Dim Order].[Order Channel Name].&amp;[Mobile App]" cap="Mobile App"/>
  </pageFields>
  <dataFields count="2">
    <dataField fld="1" baseField="0" baseItem="0"/>
    <dataField fld="2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0BB91-C42D-49E4-86DB-08F31780DAF1}" name="PivotTable8" cacheId="38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C6:K14" firstHeaderRow="1" firstDataRow="3" firstDataCol="1" rowPageCount="4" colPageCount="1"/>
  <pivotFields count="11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3">
        <item c="1" x="0" d="1"/>
        <item x="1" d="1"/>
        <item x="2" d="1"/>
      </items>
    </pivotField>
    <pivotField axis="axisRow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3"/>
    <field x="4"/>
    <field x="5"/>
  </rowFields>
  <rowItems count="6">
    <i>
      <x/>
    </i>
    <i r="1">
      <x/>
    </i>
    <i r="2">
      <x/>
    </i>
    <i r="2">
      <x v="1"/>
    </i>
    <i r="2">
      <x v="2"/>
    </i>
    <i t="grand">
      <x/>
    </i>
  </rowItems>
  <colFields count="2">
    <field x="7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4">
    <pageField fld="0" hier="29" name="[Dim Store].[Region].&amp;[Northeast]" cap="Northeast"/>
    <pageField fld="1" hier="25" name="[Dim Order].[Order Channel Name].&amp;[Drive-Thru]" cap="Drive-Thru"/>
    <pageField fld="2" hier="20" name="[Dim Date].[Year].&amp;[2024]" cap="2024"/>
    <pageField fld="10" hier="19" name="[Dim Date].[Quarter].&amp;[4]" cap="4"/>
  </pageFields>
  <dataFields count="2">
    <dataField fld="8" baseField="0" baseItem="0"/>
    <dataField fld="9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2">
    <colHierarchyUsage hierarchyUsage="3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E1570-7736-44B4-B7DE-32BFE7606179}" name="PivotTable9" cacheId="4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D5:V15" firstHeaderRow="1" firstDataRow="4" firstDataCol="1"/>
  <pivotFields count="5"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0"/>
    <field x="1"/>
    <field x="-2"/>
  </colFields>
  <colItems count="18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grand">
      <x/>
    </i>
    <i t="grand" i="1">
      <x/>
    </i>
  </colItems>
  <dataFields count="2">
    <dataField fld="3" baseField="0" baseItem="0"/>
    <dataField fld="4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3">
    <colHierarchyUsage hierarchyUsage="20"/>
    <colHierarchyUsage hierarchyUsage="1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BD1A-DC2D-4773-B26F-172E69C1AAA2}">
  <dimension ref="R1:U4"/>
  <sheetViews>
    <sheetView tabSelected="1" topLeftCell="G1" zoomScale="99" workbookViewId="0">
      <selection activeCell="E1" sqref="E1"/>
      <pivotSelection pane="bottomRight" showHeader="1" axis="axisRow" activeRow="1" activeCol="18" previousRow="1" previousCol="18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7.33203125" customWidth="1"/>
    <col min="2" max="2" width="6.33203125" customWidth="1"/>
    <col min="3" max="3" width="5.44140625" customWidth="1"/>
    <col min="4" max="4" width="5.88671875" customWidth="1"/>
    <col min="5" max="5" width="5.6640625" customWidth="1"/>
    <col min="6" max="6" width="12.5546875" bestFit="1" customWidth="1"/>
    <col min="7" max="7" width="12" bestFit="1" customWidth="1"/>
    <col min="8" max="8" width="10.44140625" bestFit="1" customWidth="1"/>
    <col min="17" max="17" width="7.5546875" customWidth="1"/>
    <col min="18" max="18" width="8.88671875" hidden="1" customWidth="1"/>
    <col min="19" max="19" width="13.88671875" bestFit="1" customWidth="1"/>
    <col min="20" max="20" width="12.21875" bestFit="1" customWidth="1"/>
    <col min="21" max="21" width="10.44140625" bestFit="1" customWidth="1"/>
  </cols>
  <sheetData>
    <row r="1" spans="19:21" x14ac:dyDescent="0.3">
      <c r="S1" s="1" t="s">
        <v>0</v>
      </c>
      <c r="T1" t="s">
        <v>4</v>
      </c>
      <c r="U1" t="s">
        <v>5</v>
      </c>
    </row>
    <row r="2" spans="19:21" x14ac:dyDescent="0.3">
      <c r="S2" s="2" t="s">
        <v>1</v>
      </c>
      <c r="T2" s="3">
        <v>11872233.440000014</v>
      </c>
      <c r="U2" s="3">
        <v>2985696</v>
      </c>
    </row>
    <row r="3" spans="19:21" x14ac:dyDescent="0.3">
      <c r="S3" s="2" t="s">
        <v>2</v>
      </c>
      <c r="T3" s="3">
        <v>11914599.839999974</v>
      </c>
      <c r="U3" s="3">
        <v>3000720</v>
      </c>
    </row>
    <row r="4" spans="19:21" x14ac:dyDescent="0.3">
      <c r="S4" s="2" t="s">
        <v>3</v>
      </c>
      <c r="T4" s="3">
        <v>23786833.279999994</v>
      </c>
      <c r="U4" s="3">
        <v>5986416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08EB-21E7-4BAC-8A71-A1B4CE10D959}">
  <dimension ref="E1:G42"/>
  <sheetViews>
    <sheetView tabSelected="1" workbookViewId="0">
      <selection activeCell="E1" sqref="E1"/>
    </sheetView>
  </sheetViews>
  <sheetFormatPr defaultRowHeight="14.4" x14ac:dyDescent="0.3"/>
  <cols>
    <col min="2" max="2" width="12.5546875" bestFit="1" customWidth="1"/>
    <col min="3" max="3" width="12" bestFit="1" customWidth="1"/>
    <col min="4" max="4" width="10.44140625" bestFit="1" customWidth="1"/>
    <col min="5" max="5" width="12.5546875" bestFit="1" customWidth="1"/>
    <col min="6" max="6" width="12" bestFit="1" customWidth="1"/>
    <col min="7" max="7" width="10.44140625" bestFit="1" customWidth="1"/>
  </cols>
  <sheetData>
    <row r="1" spans="5:7" x14ac:dyDescent="0.3">
      <c r="E1" s="1" t="s">
        <v>0</v>
      </c>
      <c r="F1" t="s">
        <v>4</v>
      </c>
      <c r="G1" t="s">
        <v>5</v>
      </c>
    </row>
    <row r="2" spans="5:7" x14ac:dyDescent="0.3">
      <c r="E2" s="2" t="s">
        <v>1</v>
      </c>
      <c r="F2" s="3"/>
      <c r="G2" s="3"/>
    </row>
    <row r="3" spans="5:7" x14ac:dyDescent="0.3">
      <c r="E3" s="4" t="s">
        <v>6</v>
      </c>
      <c r="F3" s="3"/>
      <c r="G3" s="3"/>
    </row>
    <row r="4" spans="5:7" x14ac:dyDescent="0.3">
      <c r="E4" s="5" t="s">
        <v>6</v>
      </c>
      <c r="F4" s="3"/>
      <c r="G4" s="3"/>
    </row>
    <row r="5" spans="5:7" x14ac:dyDescent="0.3">
      <c r="E5" s="6" t="s">
        <v>6</v>
      </c>
      <c r="F5" s="3">
        <v>28688.640000000007</v>
      </c>
      <c r="G5" s="3">
        <v>7456</v>
      </c>
    </row>
    <row r="6" spans="5:7" x14ac:dyDescent="0.3">
      <c r="E6" s="6" t="s">
        <v>12</v>
      </c>
      <c r="F6" s="3">
        <v>28048.160000000003</v>
      </c>
      <c r="G6" s="3">
        <v>6992</v>
      </c>
    </row>
    <row r="7" spans="5:7" x14ac:dyDescent="0.3">
      <c r="E7" s="6" t="s">
        <v>13</v>
      </c>
      <c r="F7" s="3">
        <v>32621.439999999995</v>
      </c>
      <c r="G7" s="3">
        <v>8352</v>
      </c>
    </row>
    <row r="8" spans="5:7" x14ac:dyDescent="0.3">
      <c r="E8" s="6" t="s">
        <v>14</v>
      </c>
      <c r="F8" s="3">
        <v>32169.279999999999</v>
      </c>
      <c r="G8" s="3">
        <v>8080</v>
      </c>
    </row>
    <row r="9" spans="5:7" x14ac:dyDescent="0.3">
      <c r="E9" s="6" t="s">
        <v>15</v>
      </c>
      <c r="F9" s="3">
        <v>39477.599999999991</v>
      </c>
      <c r="G9" s="3">
        <v>9696</v>
      </c>
    </row>
    <row r="10" spans="5:7" x14ac:dyDescent="0.3">
      <c r="E10" s="6" t="s">
        <v>16</v>
      </c>
      <c r="F10" s="3">
        <v>29154.880000000005</v>
      </c>
      <c r="G10" s="3">
        <v>7264</v>
      </c>
    </row>
    <row r="11" spans="5:7" x14ac:dyDescent="0.3">
      <c r="E11" s="6" t="s">
        <v>17</v>
      </c>
      <c r="F11" s="3">
        <v>32459.840000000011</v>
      </c>
      <c r="G11" s="3">
        <v>8128</v>
      </c>
    </row>
    <row r="12" spans="5:7" x14ac:dyDescent="0.3">
      <c r="E12" s="6" t="s">
        <v>18</v>
      </c>
      <c r="F12" s="3">
        <v>35602.399999999994</v>
      </c>
      <c r="G12" s="3">
        <v>8832</v>
      </c>
    </row>
    <row r="13" spans="5:7" x14ac:dyDescent="0.3">
      <c r="E13" s="6" t="s">
        <v>19</v>
      </c>
      <c r="F13" s="3">
        <v>27606.880000000005</v>
      </c>
      <c r="G13" s="3">
        <v>6912</v>
      </c>
    </row>
    <row r="14" spans="5:7" x14ac:dyDescent="0.3">
      <c r="E14" s="6" t="s">
        <v>20</v>
      </c>
      <c r="F14" s="3">
        <v>34275.199999999997</v>
      </c>
      <c r="G14" s="3">
        <v>8416</v>
      </c>
    </row>
    <row r="15" spans="5:7" x14ac:dyDescent="0.3">
      <c r="E15" s="6" t="s">
        <v>21</v>
      </c>
      <c r="F15" s="3">
        <v>37478.400000000001</v>
      </c>
      <c r="G15" s="3">
        <v>9488</v>
      </c>
    </row>
    <row r="16" spans="5:7" x14ac:dyDescent="0.3">
      <c r="E16" s="6" t="s">
        <v>7</v>
      </c>
      <c r="F16" s="3">
        <v>37495.680000000008</v>
      </c>
      <c r="G16" s="3">
        <v>9488</v>
      </c>
    </row>
    <row r="17" spans="5:7" x14ac:dyDescent="0.3">
      <c r="E17" s="6" t="s">
        <v>22</v>
      </c>
      <c r="F17" s="3">
        <v>33626.080000000002</v>
      </c>
      <c r="G17" s="3">
        <v>8592</v>
      </c>
    </row>
    <row r="18" spans="5:7" x14ac:dyDescent="0.3">
      <c r="E18" s="6" t="s">
        <v>23</v>
      </c>
      <c r="F18" s="3">
        <v>33431.039999999994</v>
      </c>
      <c r="G18" s="3">
        <v>8464</v>
      </c>
    </row>
    <row r="19" spans="5:7" x14ac:dyDescent="0.3">
      <c r="E19" s="6" t="s">
        <v>24</v>
      </c>
      <c r="F19" s="3">
        <v>35838.880000000012</v>
      </c>
      <c r="G19" s="3">
        <v>9040</v>
      </c>
    </row>
    <row r="20" spans="5:7" x14ac:dyDescent="0.3">
      <c r="E20" s="6" t="s">
        <v>25</v>
      </c>
      <c r="F20" s="3">
        <v>33136.799999999988</v>
      </c>
      <c r="G20" s="3">
        <v>8528</v>
      </c>
    </row>
    <row r="21" spans="5:7" x14ac:dyDescent="0.3">
      <c r="E21" s="6" t="s">
        <v>26</v>
      </c>
      <c r="F21" s="3">
        <v>34262.399999999994</v>
      </c>
      <c r="G21" s="3">
        <v>8544</v>
      </c>
    </row>
    <row r="22" spans="5:7" x14ac:dyDescent="0.3">
      <c r="E22" s="6" t="s">
        <v>27</v>
      </c>
      <c r="F22" s="3">
        <v>33490.720000000016</v>
      </c>
      <c r="G22" s="3">
        <v>8352</v>
      </c>
    </row>
    <row r="23" spans="5:7" x14ac:dyDescent="0.3">
      <c r="E23" s="6" t="s">
        <v>28</v>
      </c>
      <c r="F23" s="3">
        <v>30444.480000000021</v>
      </c>
      <c r="G23" s="3">
        <v>7568</v>
      </c>
    </row>
    <row r="24" spans="5:7" x14ac:dyDescent="0.3">
      <c r="E24" s="6" t="s">
        <v>29</v>
      </c>
      <c r="F24" s="3">
        <v>30656.159999999993</v>
      </c>
      <c r="G24" s="3">
        <v>7952</v>
      </c>
    </row>
    <row r="25" spans="5:7" x14ac:dyDescent="0.3">
      <c r="E25" s="6" t="s">
        <v>30</v>
      </c>
      <c r="F25" s="3">
        <v>32488.639999999999</v>
      </c>
      <c r="G25" s="3">
        <v>8256</v>
      </c>
    </row>
    <row r="26" spans="5:7" x14ac:dyDescent="0.3">
      <c r="E26" s="6" t="s">
        <v>31</v>
      </c>
      <c r="F26" s="3">
        <v>26655.840000000004</v>
      </c>
      <c r="G26" s="3">
        <v>6624</v>
      </c>
    </row>
    <row r="27" spans="5:7" x14ac:dyDescent="0.3">
      <c r="E27" s="6" t="s">
        <v>8</v>
      </c>
      <c r="F27" s="3">
        <v>25044.159999999996</v>
      </c>
      <c r="G27" s="3">
        <v>6240</v>
      </c>
    </row>
    <row r="28" spans="5:7" x14ac:dyDescent="0.3">
      <c r="E28" s="6" t="s">
        <v>32</v>
      </c>
      <c r="F28" s="3">
        <v>33719.199999999997</v>
      </c>
      <c r="G28" s="3">
        <v>8544</v>
      </c>
    </row>
    <row r="29" spans="5:7" x14ac:dyDescent="0.3">
      <c r="E29" s="6" t="s">
        <v>33</v>
      </c>
      <c r="F29" s="3">
        <v>30939.680000000008</v>
      </c>
      <c r="G29" s="3">
        <v>7808</v>
      </c>
    </row>
    <row r="30" spans="5:7" x14ac:dyDescent="0.3">
      <c r="E30" s="6" t="s">
        <v>9</v>
      </c>
      <c r="F30" s="3">
        <v>32782.719999999994</v>
      </c>
      <c r="G30" s="3">
        <v>8208</v>
      </c>
    </row>
    <row r="31" spans="5:7" x14ac:dyDescent="0.3">
      <c r="E31" s="6" t="s">
        <v>10</v>
      </c>
      <c r="F31" s="3">
        <v>33261.119999999988</v>
      </c>
      <c r="G31" s="3">
        <v>8224</v>
      </c>
    </row>
    <row r="32" spans="5:7" x14ac:dyDescent="0.3">
      <c r="E32" s="6" t="s">
        <v>11</v>
      </c>
      <c r="F32" s="3">
        <v>32142.400000000001</v>
      </c>
      <c r="G32" s="3">
        <v>8256</v>
      </c>
    </row>
    <row r="33" spans="5:7" x14ac:dyDescent="0.3">
      <c r="E33" s="6" t="s">
        <v>34</v>
      </c>
      <c r="F33" s="3">
        <v>30331.679999999986</v>
      </c>
      <c r="G33" s="3">
        <v>7488</v>
      </c>
    </row>
    <row r="34" spans="5:7" x14ac:dyDescent="0.3">
      <c r="E34" s="6" t="s">
        <v>35</v>
      </c>
      <c r="F34" s="3">
        <v>31382.560000000012</v>
      </c>
      <c r="G34" s="3">
        <v>7840</v>
      </c>
    </row>
    <row r="35" spans="5:7" x14ac:dyDescent="0.3">
      <c r="E35" s="6" t="s">
        <v>36</v>
      </c>
      <c r="F35" s="3">
        <v>28180.319999999992</v>
      </c>
      <c r="G35" s="3">
        <v>7008</v>
      </c>
    </row>
    <row r="36" spans="5:7" x14ac:dyDescent="0.3">
      <c r="E36" s="5" t="s">
        <v>7</v>
      </c>
      <c r="F36" s="3">
        <v>941433.12000000058</v>
      </c>
      <c r="G36" s="3">
        <v>235440</v>
      </c>
    </row>
    <row r="37" spans="5:7" x14ac:dyDescent="0.3">
      <c r="E37" s="5" t="s">
        <v>8</v>
      </c>
      <c r="F37" s="3">
        <v>1008529.9199999995</v>
      </c>
      <c r="G37" s="3">
        <v>254144</v>
      </c>
    </row>
    <row r="38" spans="5:7" x14ac:dyDescent="0.3">
      <c r="E38" s="4" t="s">
        <v>7</v>
      </c>
      <c r="F38" s="3">
        <v>2999989.5999999978</v>
      </c>
      <c r="G38" s="3">
        <v>756704</v>
      </c>
    </row>
    <row r="39" spans="5:7" x14ac:dyDescent="0.3">
      <c r="E39" s="4" t="s">
        <v>8</v>
      </c>
      <c r="F39" s="3">
        <v>2931154.2400000016</v>
      </c>
      <c r="G39" s="3">
        <v>735440</v>
      </c>
    </row>
    <row r="40" spans="5:7" x14ac:dyDescent="0.3">
      <c r="E40" s="4" t="s">
        <v>9</v>
      </c>
      <c r="F40" s="3">
        <v>2994233.2800000017</v>
      </c>
      <c r="G40" s="3">
        <v>753328</v>
      </c>
    </row>
    <row r="41" spans="5:7" x14ac:dyDescent="0.3">
      <c r="E41" s="2" t="s">
        <v>2</v>
      </c>
      <c r="F41" s="3">
        <v>11914599.839999974</v>
      </c>
      <c r="G41" s="3">
        <v>3000720</v>
      </c>
    </row>
    <row r="42" spans="5:7" x14ac:dyDescent="0.3">
      <c r="E42" s="2" t="s">
        <v>3</v>
      </c>
      <c r="F42" s="3">
        <v>23786833.279999994</v>
      </c>
      <c r="G42" s="3">
        <v>5986416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9DB4-2B72-4607-B459-2D3B13D2B9F3}">
  <dimension ref="D1:F19"/>
  <sheetViews>
    <sheetView tabSelected="1" workbookViewId="0">
      <selection activeCell="E1" sqref="E1"/>
    </sheetView>
  </sheetViews>
  <sheetFormatPr defaultRowHeight="14.4" x14ac:dyDescent="0.3"/>
  <cols>
    <col min="1" max="1" width="19" bestFit="1" customWidth="1"/>
    <col min="2" max="2" width="10.44140625" bestFit="1" customWidth="1"/>
    <col min="3" max="3" width="12" customWidth="1"/>
    <col min="4" max="4" width="19" bestFit="1" customWidth="1"/>
    <col min="5" max="5" width="10.44140625" bestFit="1" customWidth="1"/>
    <col min="6" max="6" width="12" bestFit="1" customWidth="1"/>
  </cols>
  <sheetData>
    <row r="1" spans="4:6" x14ac:dyDescent="0.3">
      <c r="D1" s="1" t="s">
        <v>0</v>
      </c>
      <c r="E1" t="s">
        <v>5</v>
      </c>
      <c r="F1" t="s">
        <v>4</v>
      </c>
    </row>
    <row r="2" spans="4:6" x14ac:dyDescent="0.3">
      <c r="D2" s="2" t="s">
        <v>37</v>
      </c>
      <c r="E2" s="3"/>
      <c r="F2" s="3"/>
    </row>
    <row r="3" spans="4:6" x14ac:dyDescent="0.3">
      <c r="D3" s="4" t="s">
        <v>42</v>
      </c>
      <c r="E3" s="3"/>
      <c r="F3" s="3"/>
    </row>
    <row r="4" spans="4:6" x14ac:dyDescent="0.3">
      <c r="D4" s="5" t="s">
        <v>46</v>
      </c>
      <c r="E4" s="3">
        <v>181040</v>
      </c>
      <c r="F4" s="3">
        <v>730874.23999999976</v>
      </c>
    </row>
    <row r="5" spans="4:6" x14ac:dyDescent="0.3">
      <c r="D5" s="5" t="s">
        <v>47</v>
      </c>
      <c r="E5" s="3">
        <v>404768</v>
      </c>
      <c r="F5" s="3">
        <v>1640279.359999998</v>
      </c>
    </row>
    <row r="6" spans="4:6" x14ac:dyDescent="0.3">
      <c r="D6" s="4" t="s">
        <v>43</v>
      </c>
      <c r="E6" s="3"/>
      <c r="F6" s="3"/>
    </row>
    <row r="7" spans="4:6" x14ac:dyDescent="0.3">
      <c r="D7" s="5" t="s">
        <v>46</v>
      </c>
      <c r="E7" s="3">
        <v>172032</v>
      </c>
      <c r="F7" s="3">
        <v>696114.7200000002</v>
      </c>
    </row>
    <row r="8" spans="4:6" x14ac:dyDescent="0.3">
      <c r="D8" s="5" t="s">
        <v>47</v>
      </c>
      <c r="E8" s="3">
        <v>368912</v>
      </c>
      <c r="F8" s="3">
        <v>1490573.4399999995</v>
      </c>
    </row>
    <row r="9" spans="4:6" x14ac:dyDescent="0.3">
      <c r="D9" s="4" t="s">
        <v>44</v>
      </c>
      <c r="E9" s="3">
        <v>62544</v>
      </c>
      <c r="F9" s="3">
        <v>252594.07999999996</v>
      </c>
    </row>
    <row r="10" spans="4:6" x14ac:dyDescent="0.3">
      <c r="D10" s="4" t="s">
        <v>45</v>
      </c>
      <c r="E10" s="3">
        <v>57456</v>
      </c>
      <c r="F10" s="3">
        <v>233214.55999999994</v>
      </c>
    </row>
    <row r="11" spans="4:6" x14ac:dyDescent="0.3">
      <c r="D11" s="2" t="s">
        <v>38</v>
      </c>
      <c r="E11" s="3"/>
      <c r="F11" s="3"/>
    </row>
    <row r="12" spans="4:6" x14ac:dyDescent="0.3">
      <c r="D12" s="4" t="s">
        <v>42</v>
      </c>
      <c r="E12" s="3">
        <v>844240</v>
      </c>
      <c r="F12" s="3">
        <v>3430068.480000007</v>
      </c>
    </row>
    <row r="13" spans="4:6" x14ac:dyDescent="0.3">
      <c r="D13" s="4" t="s">
        <v>43</v>
      </c>
      <c r="E13" s="3">
        <v>791376</v>
      </c>
      <c r="F13" s="3">
        <v>3205700.0000000037</v>
      </c>
    </row>
    <row r="14" spans="4:6" x14ac:dyDescent="0.3">
      <c r="D14" s="4" t="s">
        <v>44</v>
      </c>
      <c r="E14" s="3">
        <v>103360</v>
      </c>
      <c r="F14" s="3">
        <v>419219.52000000014</v>
      </c>
    </row>
    <row r="15" spans="4:6" x14ac:dyDescent="0.3">
      <c r="D15" s="4" t="s">
        <v>45</v>
      </c>
      <c r="E15" s="3">
        <v>86720</v>
      </c>
      <c r="F15" s="3">
        <v>352249.9200000001</v>
      </c>
    </row>
    <row r="16" spans="4:6" x14ac:dyDescent="0.3">
      <c r="D16" s="2" t="s">
        <v>39</v>
      </c>
      <c r="E16" s="3">
        <v>1443088</v>
      </c>
      <c r="F16" s="3">
        <v>5660574.3999999929</v>
      </c>
    </row>
    <row r="17" spans="4:6" x14ac:dyDescent="0.3">
      <c r="D17" s="2" t="s">
        <v>40</v>
      </c>
      <c r="E17" s="3">
        <v>912144</v>
      </c>
      <c r="F17" s="3">
        <v>3582405.4399999855</v>
      </c>
    </row>
    <row r="18" spans="4:6" x14ac:dyDescent="0.3">
      <c r="D18" s="2" t="s">
        <v>41</v>
      </c>
      <c r="E18" s="3">
        <v>558736</v>
      </c>
      <c r="F18" s="3">
        <v>2092965.1199999969</v>
      </c>
    </row>
    <row r="19" spans="4:6" x14ac:dyDescent="0.3">
      <c r="D19" s="2" t="s">
        <v>3</v>
      </c>
      <c r="E19" s="3">
        <v>5986416</v>
      </c>
      <c r="F19" s="3">
        <v>23786833.279999994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59C9-E435-4DB6-82B4-6E5CCDADC5AB}">
  <dimension ref="G1:I10"/>
  <sheetViews>
    <sheetView workbookViewId="0">
      <selection activeCell="I3" sqref="I3"/>
    </sheetView>
  </sheetViews>
  <sheetFormatPr defaultRowHeight="14.4" x14ac:dyDescent="0.3"/>
  <cols>
    <col min="7" max="7" width="18.21875" bestFit="1" customWidth="1"/>
    <col min="8" max="8" width="12.44140625" bestFit="1" customWidth="1"/>
    <col min="9" max="9" width="10.44140625" bestFit="1" customWidth="1"/>
  </cols>
  <sheetData>
    <row r="1" spans="7:9" x14ac:dyDescent="0.3">
      <c r="G1" s="1" t="s">
        <v>48</v>
      </c>
      <c r="H1" t="s" vm="1">
        <v>49</v>
      </c>
    </row>
    <row r="3" spans="7:9" x14ac:dyDescent="0.3">
      <c r="G3" s="1" t="s">
        <v>0</v>
      </c>
      <c r="H3" t="s">
        <v>4</v>
      </c>
      <c r="I3" t="s">
        <v>5</v>
      </c>
    </row>
    <row r="4" spans="7:9" x14ac:dyDescent="0.3">
      <c r="G4" s="2" t="s">
        <v>1</v>
      </c>
      <c r="H4" s="3"/>
      <c r="I4" s="3"/>
    </row>
    <row r="5" spans="7:9" x14ac:dyDescent="0.3">
      <c r="G5" s="4" t="s">
        <v>6</v>
      </c>
      <c r="H5" s="3">
        <v>1518764.6399999992</v>
      </c>
      <c r="I5" s="3">
        <v>352672</v>
      </c>
    </row>
    <row r="6" spans="7:9" x14ac:dyDescent="0.3">
      <c r="G6" s="4" t="s">
        <v>7</v>
      </c>
      <c r="H6" s="3">
        <v>1541436.7999999991</v>
      </c>
      <c r="I6" s="3">
        <v>358048</v>
      </c>
    </row>
    <row r="7" spans="7:9" x14ac:dyDescent="0.3">
      <c r="G7" s="4" t="s">
        <v>8</v>
      </c>
      <c r="H7" s="3">
        <v>1526365.7599999995</v>
      </c>
      <c r="I7" s="3">
        <v>353904</v>
      </c>
    </row>
    <row r="8" spans="7:9" x14ac:dyDescent="0.3">
      <c r="G8" s="4" t="s">
        <v>9</v>
      </c>
      <c r="H8" s="3">
        <v>1570604.9599999993</v>
      </c>
      <c r="I8" s="3">
        <v>365312</v>
      </c>
    </row>
    <row r="9" spans="7:9" x14ac:dyDescent="0.3">
      <c r="G9" s="2" t="s">
        <v>2</v>
      </c>
      <c r="H9" s="3">
        <v>6140601.4399999976</v>
      </c>
      <c r="I9" s="3">
        <v>1428528</v>
      </c>
    </row>
    <row r="10" spans="7:9" x14ac:dyDescent="0.3">
      <c r="G10" s="2" t="s">
        <v>3</v>
      </c>
      <c r="H10" s="3">
        <v>12297773.599999994</v>
      </c>
      <c r="I10" s="3">
        <v>2858464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0CB5-C095-473B-8880-B30AF09B046D}">
  <dimension ref="C1:K14"/>
  <sheetViews>
    <sheetView topLeftCell="B1" zoomScale="85" workbookViewId="0">
      <selection activeCell="C10" sqref="C10"/>
    </sheetView>
  </sheetViews>
  <sheetFormatPr defaultRowHeight="14.4" x14ac:dyDescent="0.3"/>
  <cols>
    <col min="1" max="1" width="4.6640625" customWidth="1"/>
    <col min="2" max="2" width="4.21875" customWidth="1"/>
    <col min="3" max="3" width="18.88671875" bestFit="1" customWidth="1"/>
    <col min="4" max="4" width="16.44140625" bestFit="1" customWidth="1"/>
    <col min="5" max="5" width="20.6640625" bestFit="1" customWidth="1"/>
    <col min="6" max="6" width="11.6640625" bestFit="1" customWidth="1"/>
    <col min="7" max="7" width="20.6640625" bestFit="1" customWidth="1"/>
    <col min="8" max="8" width="11.6640625" bestFit="1" customWidth="1"/>
    <col min="9" max="9" width="20.6640625" bestFit="1" customWidth="1"/>
    <col min="10" max="10" width="16.88671875" bestFit="1" customWidth="1"/>
    <col min="11" max="11" width="25.88671875" customWidth="1"/>
    <col min="12" max="12" width="11" bestFit="1" customWidth="1"/>
    <col min="13" max="13" width="19.5546875" bestFit="1" customWidth="1"/>
    <col min="14" max="14" width="15.77734375" bestFit="1" customWidth="1"/>
    <col min="15" max="15" width="24.33203125" bestFit="1" customWidth="1"/>
  </cols>
  <sheetData>
    <row r="1" spans="3:11" x14ac:dyDescent="0.3">
      <c r="C1" s="1" t="s">
        <v>50</v>
      </c>
      <c r="D1" t="s" vm="2">
        <v>60</v>
      </c>
    </row>
    <row r="2" spans="3:11" x14ac:dyDescent="0.3">
      <c r="C2" s="1" t="s">
        <v>48</v>
      </c>
      <c r="D2" t="s" vm="3">
        <v>61</v>
      </c>
    </row>
    <row r="3" spans="3:11" x14ac:dyDescent="0.3">
      <c r="C3" s="1" t="s">
        <v>52</v>
      </c>
      <c r="D3" t="s" vm="4">
        <v>1</v>
      </c>
    </row>
    <row r="4" spans="3:11" x14ac:dyDescent="0.3">
      <c r="C4" s="1" t="s">
        <v>51</v>
      </c>
      <c r="D4" t="s" vm="5">
        <v>9</v>
      </c>
    </row>
    <row r="6" spans="3:11" x14ac:dyDescent="0.3">
      <c r="D6" s="1" t="s">
        <v>53</v>
      </c>
    </row>
    <row r="7" spans="3:11" x14ac:dyDescent="0.3">
      <c r="D7" t="s">
        <v>54</v>
      </c>
      <c r="F7" t="s">
        <v>55</v>
      </c>
      <c r="H7" t="s">
        <v>56</v>
      </c>
      <c r="J7" t="s">
        <v>57</v>
      </c>
      <c r="K7" t="s">
        <v>58</v>
      </c>
    </row>
    <row r="8" spans="3:11" x14ac:dyDescent="0.3">
      <c r="C8" s="1" t="s">
        <v>0</v>
      </c>
      <c r="D8" t="s">
        <v>4</v>
      </c>
      <c r="E8" t="s">
        <v>59</v>
      </c>
      <c r="F8" t="s">
        <v>4</v>
      </c>
      <c r="G8" t="s">
        <v>59</v>
      </c>
      <c r="H8" t="s">
        <v>4</v>
      </c>
      <c r="I8" t="s">
        <v>59</v>
      </c>
    </row>
    <row r="9" spans="3:11" x14ac:dyDescent="0.3">
      <c r="C9" s="2" t="s">
        <v>1</v>
      </c>
      <c r="D9" s="3"/>
      <c r="E9" s="3"/>
      <c r="F9" s="3"/>
      <c r="G9" s="3"/>
      <c r="H9" s="3"/>
      <c r="I9" s="3"/>
      <c r="J9" s="3"/>
      <c r="K9" s="3"/>
    </row>
    <row r="10" spans="3:11" x14ac:dyDescent="0.3">
      <c r="C10" s="4" t="s">
        <v>9</v>
      </c>
      <c r="D10" s="3"/>
      <c r="E10" s="3"/>
      <c r="F10" s="3"/>
      <c r="G10" s="3"/>
      <c r="H10" s="3"/>
      <c r="I10" s="3"/>
      <c r="J10" s="3"/>
      <c r="K10" s="3"/>
    </row>
    <row r="11" spans="3:11" x14ac:dyDescent="0.3">
      <c r="C11" s="5" t="s">
        <v>12</v>
      </c>
      <c r="D11" s="3">
        <v>12137.599999999999</v>
      </c>
      <c r="E11" s="3">
        <v>3488</v>
      </c>
      <c r="F11" s="3">
        <v>10878.559999999998</v>
      </c>
      <c r="G11" s="3">
        <v>3136</v>
      </c>
      <c r="H11" s="3">
        <v>15236.16</v>
      </c>
      <c r="I11" s="3">
        <v>4080</v>
      </c>
      <c r="J11" s="3">
        <v>38252.319999999992</v>
      </c>
      <c r="K11" s="3">
        <v>10704</v>
      </c>
    </row>
    <row r="12" spans="3:11" x14ac:dyDescent="0.3">
      <c r="C12" s="5" t="s">
        <v>13</v>
      </c>
      <c r="D12" s="3">
        <v>9805.119999999999</v>
      </c>
      <c r="E12" s="3">
        <v>2896</v>
      </c>
      <c r="F12" s="3">
        <v>13360.480000000003</v>
      </c>
      <c r="G12" s="3">
        <v>3728</v>
      </c>
      <c r="H12" s="3">
        <v>14067.68</v>
      </c>
      <c r="I12" s="3">
        <v>4096</v>
      </c>
      <c r="J12" s="3">
        <v>37233.279999999999</v>
      </c>
      <c r="K12" s="3">
        <v>10720</v>
      </c>
    </row>
    <row r="13" spans="3:11" x14ac:dyDescent="0.3">
      <c r="C13" s="5" t="s">
        <v>14</v>
      </c>
      <c r="D13" s="3">
        <v>11655.04</v>
      </c>
      <c r="E13" s="3">
        <v>3392</v>
      </c>
      <c r="F13" s="3">
        <v>14899.200000000004</v>
      </c>
      <c r="G13" s="3">
        <v>4032</v>
      </c>
      <c r="H13" s="3">
        <v>16069.760000000002</v>
      </c>
      <c r="I13" s="3">
        <v>4640</v>
      </c>
      <c r="J13" s="3">
        <v>42624.000000000007</v>
      </c>
      <c r="K13" s="3">
        <v>12064</v>
      </c>
    </row>
    <row r="14" spans="3:11" x14ac:dyDescent="0.3">
      <c r="C14" s="2" t="s">
        <v>3</v>
      </c>
      <c r="D14" s="3">
        <v>33597.759999999995</v>
      </c>
      <c r="E14" s="3">
        <v>9776</v>
      </c>
      <c r="F14" s="3">
        <v>39138.240000000005</v>
      </c>
      <c r="G14" s="3">
        <v>10896</v>
      </c>
      <c r="H14" s="3">
        <v>45373.600000000006</v>
      </c>
      <c r="I14" s="3">
        <v>12816</v>
      </c>
      <c r="J14" s="3">
        <v>118109.60000000003</v>
      </c>
      <c r="K14" s="3">
        <v>33488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17C4-B9FF-4990-8820-66093D005D79}">
  <dimension ref="D5:V15"/>
  <sheetViews>
    <sheetView topLeftCell="C1" zoomScale="60" workbookViewId="0">
      <selection activeCell="J35" sqref="J35"/>
    </sheetView>
  </sheetViews>
  <sheetFormatPr defaultRowHeight="14.4" x14ac:dyDescent="0.3"/>
  <cols>
    <col min="3" max="3" width="4.88671875" customWidth="1"/>
    <col min="4" max="4" width="13.5546875" bestFit="1" customWidth="1"/>
    <col min="5" max="5" width="16.33203125" bestFit="1" customWidth="1"/>
    <col min="6" max="6" width="10.5546875" bestFit="1" customWidth="1"/>
    <col min="7" max="7" width="11" bestFit="1" customWidth="1"/>
    <col min="8" max="8" width="12.77734375" customWidth="1"/>
    <col min="9" max="9" width="11.88671875" bestFit="1" customWidth="1"/>
    <col min="10" max="10" width="10.5546875" bestFit="1" customWidth="1"/>
    <col min="11" max="11" width="11.88671875" bestFit="1" customWidth="1"/>
    <col min="12" max="12" width="10.5546875" bestFit="1" customWidth="1"/>
    <col min="13" max="13" width="11.88671875" bestFit="1" customWidth="1"/>
    <col min="14" max="14" width="10.5546875" bestFit="1" customWidth="1"/>
    <col min="15" max="15" width="11.88671875" bestFit="1" customWidth="1"/>
    <col min="16" max="16" width="10.5546875" bestFit="1" customWidth="1"/>
    <col min="17" max="17" width="11.88671875" bestFit="1" customWidth="1"/>
    <col min="18" max="18" width="10.5546875" bestFit="1" customWidth="1"/>
    <col min="19" max="19" width="11.88671875" bestFit="1" customWidth="1"/>
    <col min="20" max="20" width="10.5546875" bestFit="1" customWidth="1"/>
    <col min="21" max="21" width="21.5546875" customWidth="1"/>
    <col min="22" max="22" width="21" customWidth="1"/>
  </cols>
  <sheetData>
    <row r="5" spans="4:22" x14ac:dyDescent="0.3">
      <c r="E5" s="1" t="s">
        <v>53</v>
      </c>
    </row>
    <row r="6" spans="4:22" x14ac:dyDescent="0.3">
      <c r="E6" t="s">
        <v>1</v>
      </c>
      <c r="M6" t="s">
        <v>2</v>
      </c>
      <c r="U6" t="s">
        <v>57</v>
      </c>
      <c r="V6" t="s">
        <v>68</v>
      </c>
    </row>
    <row r="7" spans="4:22" x14ac:dyDescent="0.3">
      <c r="E7" t="s">
        <v>6</v>
      </c>
      <c r="G7" t="s">
        <v>7</v>
      </c>
      <c r="I7" t="s">
        <v>8</v>
      </c>
      <c r="K7" t="s">
        <v>9</v>
      </c>
      <c r="M7" t="s">
        <v>6</v>
      </c>
      <c r="O7" t="s">
        <v>7</v>
      </c>
      <c r="Q7" t="s">
        <v>8</v>
      </c>
      <c r="S7" t="s">
        <v>9</v>
      </c>
    </row>
    <row r="8" spans="4:22" ht="21.6" customHeight="1" x14ac:dyDescent="0.3">
      <c r="D8" s="1" t="s">
        <v>0</v>
      </c>
      <c r="E8" t="s">
        <v>4</v>
      </c>
      <c r="F8" t="s">
        <v>5</v>
      </c>
      <c r="G8" t="s">
        <v>4</v>
      </c>
      <c r="H8" t="s">
        <v>5</v>
      </c>
      <c r="I8" t="s">
        <v>4</v>
      </c>
      <c r="J8" t="s">
        <v>5</v>
      </c>
      <c r="K8" t="s">
        <v>4</v>
      </c>
      <c r="L8" t="s">
        <v>5</v>
      </c>
      <c r="M8" t="s">
        <v>4</v>
      </c>
      <c r="N8" t="s">
        <v>5</v>
      </c>
      <c r="O8" t="s">
        <v>4</v>
      </c>
      <c r="P8" t="s">
        <v>5</v>
      </c>
      <c r="Q8" t="s">
        <v>4</v>
      </c>
      <c r="R8" t="s">
        <v>5</v>
      </c>
      <c r="S8" t="s">
        <v>4</v>
      </c>
      <c r="T8" t="s">
        <v>5</v>
      </c>
    </row>
    <row r="9" spans="4:22" ht="19.2" customHeight="1" x14ac:dyDescent="0.3">
      <c r="D9" s="2" t="s">
        <v>62</v>
      </c>
      <c r="E9" s="3">
        <v>494432.95999999932</v>
      </c>
      <c r="F9" s="3">
        <v>122976</v>
      </c>
      <c r="G9" s="3">
        <v>490751.19999999966</v>
      </c>
      <c r="H9" s="3">
        <v>123984</v>
      </c>
      <c r="I9" s="3">
        <v>491435.19999999978</v>
      </c>
      <c r="J9" s="3">
        <v>123712</v>
      </c>
      <c r="K9" s="3">
        <v>494834.23999999953</v>
      </c>
      <c r="L9" s="3">
        <v>124240</v>
      </c>
      <c r="M9" s="3">
        <v>490955.67999999959</v>
      </c>
      <c r="N9" s="3">
        <v>124256</v>
      </c>
      <c r="O9" s="3">
        <v>488014.2400000004</v>
      </c>
      <c r="P9" s="3">
        <v>122880</v>
      </c>
      <c r="Q9" s="3">
        <v>494587.51999999961</v>
      </c>
      <c r="R9" s="3">
        <v>125008</v>
      </c>
      <c r="S9" s="3">
        <v>489843.20000000059</v>
      </c>
      <c r="T9" s="3">
        <v>123120</v>
      </c>
      <c r="U9" s="3">
        <v>3934854.2399999984</v>
      </c>
      <c r="V9" s="3">
        <v>990176</v>
      </c>
    </row>
    <row r="10" spans="4:22" ht="20.399999999999999" customHeight="1" x14ac:dyDescent="0.3">
      <c r="D10" s="2" t="s">
        <v>63</v>
      </c>
      <c r="E10" s="3">
        <v>493784.8</v>
      </c>
      <c r="F10" s="3">
        <v>124368</v>
      </c>
      <c r="G10" s="3">
        <v>512046.40000000078</v>
      </c>
      <c r="H10" s="3">
        <v>128816</v>
      </c>
      <c r="I10" s="3">
        <v>484604.8</v>
      </c>
      <c r="J10" s="3">
        <v>121376</v>
      </c>
      <c r="K10" s="3">
        <v>508141.27999999962</v>
      </c>
      <c r="L10" s="3">
        <v>126960</v>
      </c>
      <c r="M10" s="3">
        <v>492978.07999999908</v>
      </c>
      <c r="N10" s="3">
        <v>123920</v>
      </c>
      <c r="O10" s="3">
        <v>479079.04000000033</v>
      </c>
      <c r="P10" s="3">
        <v>120432</v>
      </c>
      <c r="Q10" s="3">
        <v>495077.28000000096</v>
      </c>
      <c r="R10" s="3">
        <v>124608</v>
      </c>
      <c r="S10" s="3">
        <v>495996.32000000059</v>
      </c>
      <c r="T10" s="3">
        <v>124864</v>
      </c>
      <c r="U10" s="3">
        <v>3961708.0000000009</v>
      </c>
      <c r="V10" s="3">
        <v>995344</v>
      </c>
    </row>
    <row r="11" spans="4:22" ht="22.8" customHeight="1" x14ac:dyDescent="0.3">
      <c r="D11" s="2" t="s">
        <v>64</v>
      </c>
      <c r="E11" s="3">
        <v>481240.31999999896</v>
      </c>
      <c r="F11" s="3">
        <v>121888</v>
      </c>
      <c r="G11" s="3">
        <v>512153.76000000059</v>
      </c>
      <c r="H11" s="3">
        <v>129296</v>
      </c>
      <c r="I11" s="3">
        <v>482776.64000000077</v>
      </c>
      <c r="J11" s="3">
        <v>121504</v>
      </c>
      <c r="K11" s="3">
        <v>492556.32000000123</v>
      </c>
      <c r="L11" s="3">
        <v>124512</v>
      </c>
      <c r="M11" s="3">
        <v>512641.27999999921</v>
      </c>
      <c r="N11" s="3">
        <v>128848</v>
      </c>
      <c r="O11" s="3">
        <v>496847.52000000095</v>
      </c>
      <c r="P11" s="3">
        <v>125664</v>
      </c>
      <c r="Q11" s="3">
        <v>500783.04000000021</v>
      </c>
      <c r="R11" s="3">
        <v>126368</v>
      </c>
      <c r="S11" s="3">
        <v>491042.55999999953</v>
      </c>
      <c r="T11" s="3">
        <v>123152</v>
      </c>
      <c r="U11" s="3">
        <v>3970041.4400000013</v>
      </c>
      <c r="V11" s="3">
        <v>1001232</v>
      </c>
    </row>
    <row r="12" spans="4:22" ht="22.8" customHeight="1" x14ac:dyDescent="0.3">
      <c r="D12" s="2" t="s">
        <v>65</v>
      </c>
      <c r="E12" s="3">
        <v>476757.60000000044</v>
      </c>
      <c r="F12" s="3">
        <v>119744</v>
      </c>
      <c r="G12" s="3">
        <v>489506.08000000037</v>
      </c>
      <c r="H12" s="3">
        <v>123280</v>
      </c>
      <c r="I12" s="3">
        <v>482361.60000000033</v>
      </c>
      <c r="J12" s="3">
        <v>120912</v>
      </c>
      <c r="K12" s="3">
        <v>507832.96</v>
      </c>
      <c r="L12" s="3">
        <v>127888</v>
      </c>
      <c r="M12" s="3">
        <v>503379.52000000008</v>
      </c>
      <c r="N12" s="3">
        <v>126720</v>
      </c>
      <c r="O12" s="3">
        <v>482906.87999999931</v>
      </c>
      <c r="P12" s="3">
        <v>122608</v>
      </c>
      <c r="Q12" s="3">
        <v>503898.87999999942</v>
      </c>
      <c r="R12" s="3">
        <v>126368</v>
      </c>
      <c r="S12" s="3">
        <v>489522.07999999978</v>
      </c>
      <c r="T12" s="3">
        <v>123968</v>
      </c>
      <c r="U12" s="3">
        <v>3936165.5999999996</v>
      </c>
      <c r="V12" s="3">
        <v>991488</v>
      </c>
    </row>
    <row r="13" spans="4:22" ht="23.4" customHeight="1" x14ac:dyDescent="0.3">
      <c r="D13" s="2" t="s">
        <v>66</v>
      </c>
      <c r="E13" s="3">
        <v>508535.68000000034</v>
      </c>
      <c r="F13" s="3">
        <v>127328</v>
      </c>
      <c r="G13" s="3">
        <v>499458.87999999983</v>
      </c>
      <c r="H13" s="3">
        <v>125920</v>
      </c>
      <c r="I13" s="3">
        <v>483540.64000000019</v>
      </c>
      <c r="J13" s="3">
        <v>121088</v>
      </c>
      <c r="K13" s="3">
        <v>494955.99999999948</v>
      </c>
      <c r="L13" s="3">
        <v>124224</v>
      </c>
      <c r="M13" s="3">
        <v>494989.92000000074</v>
      </c>
      <c r="N13" s="3">
        <v>123808</v>
      </c>
      <c r="O13" s="3">
        <v>484892.8</v>
      </c>
      <c r="P13" s="3">
        <v>121392</v>
      </c>
      <c r="Q13" s="3">
        <v>515961.27999999933</v>
      </c>
      <c r="R13" s="3">
        <v>129840</v>
      </c>
      <c r="S13" s="3">
        <v>512249.28000000055</v>
      </c>
      <c r="T13" s="3">
        <v>129328</v>
      </c>
      <c r="U13" s="3">
        <v>3994584.4800000004</v>
      </c>
      <c r="V13" s="3">
        <v>1002928</v>
      </c>
    </row>
    <row r="14" spans="4:22" ht="24.6" customHeight="1" x14ac:dyDescent="0.3">
      <c r="D14" s="2" t="s">
        <v>67</v>
      </c>
      <c r="E14" s="3">
        <v>492104.95999999909</v>
      </c>
      <c r="F14" s="3">
        <v>123920</v>
      </c>
      <c r="G14" s="3">
        <v>496073.28000000055</v>
      </c>
      <c r="H14" s="3">
        <v>125408</v>
      </c>
      <c r="I14" s="3">
        <v>506435.36000000057</v>
      </c>
      <c r="J14" s="3">
        <v>126848</v>
      </c>
      <c r="K14" s="3">
        <v>495912.4799999994</v>
      </c>
      <c r="L14" s="3">
        <v>125504</v>
      </c>
      <c r="M14" s="3">
        <v>503489.2799999995</v>
      </c>
      <c r="N14" s="3">
        <v>126992</v>
      </c>
      <c r="O14" s="3">
        <v>496084.15999999974</v>
      </c>
      <c r="P14" s="3">
        <v>125552</v>
      </c>
      <c r="Q14" s="3">
        <v>508090.72000000026</v>
      </c>
      <c r="R14" s="3">
        <v>127680</v>
      </c>
      <c r="S14" s="3">
        <v>491289.27999999974</v>
      </c>
      <c r="T14" s="3">
        <v>123344</v>
      </c>
      <c r="U14" s="3">
        <v>3989479.5199999986</v>
      </c>
      <c r="V14" s="3">
        <v>1005248</v>
      </c>
    </row>
    <row r="15" spans="4:22" ht="25.8" customHeight="1" x14ac:dyDescent="0.3">
      <c r="D15" s="2" t="s">
        <v>3</v>
      </c>
      <c r="E15" s="3">
        <v>2946856.319999997</v>
      </c>
      <c r="F15" s="3">
        <v>740224</v>
      </c>
      <c r="G15" s="3">
        <v>2999989.5999999978</v>
      </c>
      <c r="H15" s="3">
        <v>756704</v>
      </c>
      <c r="I15" s="3">
        <v>2931154.2400000016</v>
      </c>
      <c r="J15" s="3">
        <v>735440</v>
      </c>
      <c r="K15" s="3">
        <v>2994233.2800000017</v>
      </c>
      <c r="L15" s="3">
        <v>753328</v>
      </c>
      <c r="M15" s="3">
        <v>2998433.7599999919</v>
      </c>
      <c r="N15" s="3">
        <v>754544</v>
      </c>
      <c r="O15" s="3">
        <v>2927824.6399999969</v>
      </c>
      <c r="P15" s="3">
        <v>738528</v>
      </c>
      <c r="Q15" s="3">
        <v>3018398.71999999</v>
      </c>
      <c r="R15" s="3">
        <v>759872</v>
      </c>
      <c r="S15" s="3">
        <v>2969942.7199999969</v>
      </c>
      <c r="T15" s="3">
        <v>747776</v>
      </c>
      <c r="U15" s="3">
        <v>23786833.279999994</v>
      </c>
      <c r="V15" s="3">
        <v>5986416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Roll-Up</vt:lpstr>
      <vt:lpstr>2_DrillDown</vt:lpstr>
      <vt:lpstr>DrillDown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2026-04-01T09:03:33Z</dcterms:created>
  <dcterms:modified xsi:type="dcterms:W3CDTF">2026-04-03T17:57:48Z</dcterms:modified>
</cp:coreProperties>
</file>